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Page Map" sheetId="2" state="visible" r:id="rId4"/>
    <sheet name="Suburb Pages" sheetId="3" state="visible" r:id="rId5"/>
    <sheet name="Keywords" sheetId="4" state="visible" r:id="rId6"/>
    <sheet name="Competitors" sheetId="5" state="visible" r:id="rId7"/>
    <sheet name="Existing Pages &amp; Audit" sheetId="6" state="visible" r:id="rId8"/>
    <sheet name="8-Week Action Plan" sheetId="7" state="visible" r:id="rId9"/>
  </sheets>
  <definedNames>
    <definedName function="false" hidden="true" localSheetId="3" name="_xlnm._FilterDatabase" vbProcedure="false">Keywords!$A$1:$O$140</definedName>
    <definedName function="false" hidden="true" localSheetId="1" name="_xlnm._FilterDatabase" vbProcedure="false">'Page Map'!$A$1:$T$66</definedName>
    <definedName function="false" hidden="true" localSheetId="2" name="_xlnm._FilterDatabase" vbProcedure="false">'Suburb Pages'!$A$9:$N$49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<sst xmlns="http://schemas.openxmlformats.org/spreadsheetml/2006/main" count="3115" uniqueCount="907">
  <si>
    <t xml:space="preserve">Semrush Keyword Strategy - fridgerepairblacktown.com.au</t>
  </si>
  <si>
    <t xml:space="preserve">Prepared 16 Oct 2026  |  Source: Semrush (Australia database, desktop)  |  Filters: KD 0-20%, intent Commercial / Transactional, repair-related terms, volume 50+</t>
  </si>
  <si>
    <t xml:space="preserve">KEY NUMBERS</t>
  </si>
  <si>
    <t xml:space="preserve">Target keywords (in scope)</t>
  </si>
  <si>
    <t xml:space="preserve">Combined monthly search volume (in scope)</t>
  </si>
  <si>
    <t xml:space="preserve">Average keyword difficulty (in scope)</t>
  </si>
  <si>
    <t xml:space="preserve">Keywords on EXISTING pages</t>
  </si>
  <si>
    <t xml:space="preserve">Keywords needing NEW pages</t>
  </si>
  <si>
    <t xml:space="preserve">Existing pages to optimise</t>
  </si>
  <si>
    <t xml:space="preserve">New pages to create (service, brand, suburb + 3 support pages)</t>
  </si>
  <si>
    <t xml:space="preserve">Optional low-relevance keywords (inner west / eastern suburbs, P4)</t>
  </si>
  <si>
    <t xml:space="preserve">New finds not in the previous plan</t>
  </si>
  <si>
    <t xml:space="preserve">Suburb pages planned (Tier 1 / 2 / 3 / extended)</t>
  </si>
  <si>
    <t xml:space="preserve">WHAT THE SEMRUSH DATA SAYS</t>
  </si>
  <si>
    <t xml:space="preserve">1. Demand is real and difficulty is low: the in-scope list averages KD ~11 and the best terms (fridge repairs near me 2,400/mo KD 12; fridge repairs 1,600 KD 16; fridge repair 1,300 KD 14) are all inside KD 0-20.</t>
  </si>
  <si>
    <t xml:space="preserve">2. Brand pages are the largest untapped pool. Fisher &amp; Paykel alone has ~3,600 searches/mo at KD 4-17, Westinghouse ~840, LG ~870, Samsung ~400. None of these pages exist on the site yet.</t>
  </si>
  <si>
    <t xml:space="preserve">3. Commercial refrigeration has the highest lead value: CPC $6-$13 on terms like "commercial refrigeration repair" (720/mo, KD 14), "commercial freezer repair" (590, KD 10) and "refrigerator commercial repair" (CPC $13.59). The page exists but needs optimising.</t>
  </si>
  <si>
    <t xml:space="preserve">4. Two new commercial clusters are missing entirely: Ice machine repair (8 keywords, KD 3-9, ~1,100/mo) and Coolroom / cold room repair (5 keywords, ~520/mo, CPC up to $15).</t>
  </si>
  <si>
    <t xml:space="preserve">5. Blacktown itself is small (fridge repairs blacktown 110/mo KD 6; fridge repair blacktown 50/mo KD 5), so the homepage must also capture the big generic and "near me" terms, backed by Google Business Profile.</t>
  </si>
  <si>
    <t xml:space="preserve">6. SUBURB PAGES - decision: YES, build them, as a supporting layer. Evidence: masterfridgerepairs.com.au has 80 suburb pages and fastfridgerepairs.com.au has 133 (out of 111 / 191 URLs); the #1 organic result for "fridge repairs blacktown" is a dedicated suburb page. But Semrush shows each suburb page gets only 0-19 visits/month (homepage = 69% / 50% of their traffic; all suburb pages together ~11% / ~22%). So: low volume, low difficulty (KD 4-6), cheap wins - not the main traffic source.</t>
  </si>
  <si>
    <t xml:space="preserve">7. Suburb demand: measurable volume exists for Penrith ~280 (3 variants), Smithfield 170, Parramatta 140, Castle Hill 140, Richmond 90, Glenwood 70, Rouse Hill 50, St Marys 50. Most Blacktown-area suburbs (Doonside, Marayong, Quakers Hill, Mount Druitt, Seven Hills...) are below Semrush reporting level (&lt;10/mo each) - they are included for local relevance, Map Pack proximity and because 12 of your suburbs have NO competitor page at all.</t>
  </si>
  <si>
    <t xml:space="preserve">8. Competitors are weak: local players have Domain Authority 8-17 and 150-260 referring domains, only a few have a dedicated Blacktown page, and none visibly cover brands, coolroom or ice machines locally.</t>
  </si>
  <si>
    <t xml:space="preserve">9. Search intent note: Semrush labels many "fridge repair [suburb]" terms Commercial (comparison / hire intent). Treat them as lead-gen pages with a phone number and booking form above the fold.</t>
  </si>
  <si>
    <t xml:space="preserve">HOW TO USE THIS FILE</t>
  </si>
  <si>
    <t xml:space="preserve">• Keywords tab: every keyword with volume, KD, CPC, intent, priority, and the page it belongs to (filter by "Page Status" to see EXISTING vs NEW).</t>
  </si>
  <si>
    <t xml:space="preserve">• Page Map tab: one row per page - existing pages to optimise and new pages to create - with primary / secondary keywords, title tag, H1, word count, publish week and notes. Totals are live formulas from the Keywords tab.</t>
  </si>
  <si>
    <t xml:space="preserve">• Suburb Pages tab: 40 suburb pages in 4 tiers with postcode, Semrush volume, which competitor already has that suburb, publish week and the unique-content checklist.</t>
  </si>
  <si>
    <t xml:space="preserve">• Competitors tab: top 10 local competitors, directories / commercial rivals, and the competitor suburb-page footprint.</t>
  </si>
  <si>
    <t xml:space="preserve">• Existing Pages &amp; Audit tab: what is on the site today and the issues to fix first.</t>
  </si>
  <si>
    <t xml:space="preserve">• 8-Week Action Plan tab: publishing order starting Monday 19 Oct 2026.</t>
  </si>
  <si>
    <t xml:space="preserve">ASSUMPTIONS &amp; LIMITS (please read)</t>
  </si>
  <si>
    <t xml:space="preserve">• Volumes are Semrush Australia monthly estimates (desktop view); they are directional, not exact. Validate with Google Search Console after 4-6 weeks.</t>
  </si>
  <si>
    <t xml:space="preserve">• Only keywords with KD 0-20% and Commercial / Transactional intent were kept (as requested). Higher-KD terms such as "fridge repairs sydney" or "fridge repair near me" variants above KD 20 are excluded and can be a phase-2 list.</t>
  </si>
  <si>
    <t xml:space="preserve">• Keywords from other states (Melbourne, Brisbane, Perth, Gold Coast...) and non-fridge appliances (TV, washing machine, gas cooking, rangehood) were removed as not serviceable.</t>
  </si>
  <si>
    <t xml:space="preserve">• Suburb pages are tiered (see Suburb Pages tab). Tier 1-3 = suburbs listed on your homepage plus Smithfield; "Extended" suburbs (Parramatta, Penrith, Castle Hill, Richmond, Campbelltown, Bankstown, Bossley Park, St Marys) are included because Semrush shows demand - publish them only if you really service them. Eastern / inner-west suburbs are P4 optional and covered by one Sydney hub page. Do not publish suburb pages that only swap the suburb name - each needs unique local content or Google may treat them as doorway / thin pages.</t>
  </si>
  <si>
    <t xml:space="preserve">• No Google Search Console, keyword rank-tracking or on-page crawl data was available - the site audit comes from the sitemap and homepage text only.</t>
  </si>
  <si>
    <t xml:space="preserve">#</t>
  </si>
  <si>
    <t xml:space="preserve">Publish Week</t>
  </si>
  <si>
    <t xml:space="preserve">Page Status</t>
  </si>
  <si>
    <t xml:space="preserve">Page Type</t>
  </si>
  <si>
    <t xml:space="preserve">URL</t>
  </si>
  <si>
    <t xml:space="preserve">Primary Keyword</t>
  </si>
  <si>
    <t xml:space="preserve">Primary Vol</t>
  </si>
  <si>
    <t xml:space="preserve">Primary KD %</t>
  </si>
  <si>
    <t xml:space="preserve">Keywords Mapped</t>
  </si>
  <si>
    <t xml:space="preserve">Total Volume (excl. P4)</t>
  </si>
  <si>
    <t xml:space="preserve">Avg KD %</t>
  </si>
  <si>
    <t xml:space="preserve">Avg CPC (USD)</t>
  </si>
  <si>
    <t xml:space="preserve">Priority</t>
  </si>
  <si>
    <t xml:space="preserve">Title Tag (&lt;=60)</t>
  </si>
  <si>
    <t xml:space="preserve">Title Len</t>
  </si>
  <si>
    <t xml:space="preserve">H1</t>
  </si>
  <si>
    <t xml:space="preserve">Word Count</t>
  </si>
  <si>
    <t xml:space="preserve">Secondary Keywords (top 8 by volume)</t>
  </si>
  <si>
    <t xml:space="preserve">In previous plan?</t>
  </si>
  <si>
    <t xml:space="preserve">Notes</t>
  </si>
  <si>
    <t xml:space="preserve">Week 1 (19 - 25 Oct)</t>
  </si>
  <si>
    <t xml:space="preserve">EXISTING - optimise</t>
  </si>
  <si>
    <t xml:space="preserve">Homepage</t>
  </si>
  <si>
    <t xml:space="preserve">/</t>
  </si>
  <si>
    <t xml:space="preserve">fridge repairs near me</t>
  </si>
  <si>
    <t xml:space="preserve">P1</t>
  </si>
  <si>
    <t xml:space="preserve">Fridge Repairs Blacktown | Same-Day Local Technicians</t>
  </si>
  <si>
    <t xml:space="preserve">Fridge Repairs Blacktown</t>
  </si>
  <si>
    <t xml:space="preserve">1,800-2,200</t>
  </si>
  <si>
    <t xml:space="preserve">fridge repairs, fridge repair, refrigerator mechanic near me, fridge technician near me, fridge mechanic, technician for fridge, fridge repair technician, fridge repairs blacktown (+7 more in Keywords tab)</t>
  </si>
  <si>
    <t xml:space="preserve">Yes (planned)</t>
  </si>
  <si>
    <t xml:space="preserve">Local money page. Add phone + click-to-call in first screen; link every section to its own page. Needs real Google reviews + NAP.</t>
  </si>
  <si>
    <t xml:space="preserve">Service</t>
  </si>
  <si>
    <t xml:space="preserve">/commercial-fridge-repair-blacktown/</t>
  </si>
  <si>
    <t xml:space="preserve">commercial refrigeration repair</t>
  </si>
  <si>
    <t xml:space="preserve">Commercial Fridge Repairs Blacktown | 24/7 Service</t>
  </si>
  <si>
    <t xml:space="preserve">Commercial Fridge &amp; Refrigeration Repairs in Blacktown</t>
  </si>
  <si>
    <t xml:space="preserve">1,300-1,600</t>
  </si>
  <si>
    <t xml:space="preserve">commercial freezer repair, commercial fridge repair, commercial refrigeration repairs, commercial refrigeration services, refrigerator commercial repair, commercial fridge service, commercial freezer repairs, commercial refrigeration repair near me (+8 more in Keywords tab)</t>
  </si>
  <si>
    <t xml:space="preserve">Highest CPC cluster ($6-$13) = highest commercial value. Add industries, equipment types, SLA / response time, maintenance plans.</t>
  </si>
  <si>
    <t xml:space="preserve">/residential-fridge-repair/</t>
  </si>
  <si>
    <t xml:space="preserve">repair refrigerator service</t>
  </si>
  <si>
    <t xml:space="preserve">Residential Fridge Repair Blacktown | All Brands</t>
  </si>
  <si>
    <t xml:space="preserve">Residential Fridge Repair in Blacktown</t>
  </si>
  <si>
    <t xml:space="preserve">1,100-1,400</t>
  </si>
  <si>
    <t xml:space="preserve">fridge service and repair, refrigerator repair service, refrigeration service, refridgerator repairs, refigerator repair, repair fridges, refrigerator freezer repair, refrigerator refrigerator repair (+10 more in Keywords tab)</t>
  </si>
  <si>
    <t xml:space="preserve">Takes the generic "fridge service / repair service" terms. Keep Blacktown in H1 and first paragraph.</t>
  </si>
  <si>
    <t xml:space="preserve">NEW</t>
  </si>
  <si>
    <t xml:space="preserve">Brand</t>
  </si>
  <si>
    <t xml:space="preserve">/fisher-paykel-fridge-repair/</t>
  </si>
  <si>
    <t xml:space="preserve">fisher and paykel fridge repairs</t>
  </si>
  <si>
    <t xml:space="preserve">Fisher &amp; Paykel Fridge Repairs Blacktown | Local Techs</t>
  </si>
  <si>
    <t xml:space="preserve">Fisher &amp; Paykel Fridge Repair in Blacktown</t>
  </si>
  <si>
    <t xml:space="preserve">1,000-1,300</t>
  </si>
  <si>
    <t xml:space="preserve">fisher &amp; paykel fridge repairs, fisher and paykel refrigerator repair, fisher and paykel appliance repairs, fisher and paykel repair service near me, fisher and paykel service repair, fisher paykel appliance repair near me, fisher paykel repair near me, fisher and paykel repairs near me (+2 more in Keywords tab)</t>
  </si>
  <si>
    <t xml:space="preserve">No - new find</t>
  </si>
  <si>
    <t xml:space="preserve">BIGGEST single opportunity: ~3,600 combined monthly searches at KD 4-17. Do NOT claim "authorised service agent" unless true. Add real model numbers / jobs.</t>
  </si>
  <si>
    <t xml:space="preserve">/emergency-fridge-repair/</t>
  </si>
  <si>
    <t xml:space="preserve">emergency commercial refrigeration repair</t>
  </si>
  <si>
    <t xml:space="preserve">Emergency Fridge Repair Blacktown | 24/7 Call-Out</t>
  </si>
  <si>
    <t xml:space="preserve">24/7 Emergency Fridge Repair in Blacktown</t>
  </si>
  <si>
    <t xml:space="preserve">same day fridge repair, urgent fridge repair, emergency refrigerator repair</t>
  </si>
  <si>
    <t xml:space="preserve">Add commercial emergency (coolroom / display) section to cover "emergency commercial refrigeration repair". Confirm after-hours rates before publishing.</t>
  </si>
  <si>
    <t xml:space="preserve">Week 2 (26 Oct - 1 Nov)</t>
  </si>
  <si>
    <t xml:space="preserve">/ice-machine-repair/</t>
  </si>
  <si>
    <t xml:space="preserve">refrigerator ice machine repair</t>
  </si>
  <si>
    <t xml:space="preserve">Ice Machine Repair Blacktown &amp; Western Sydney</t>
  </si>
  <si>
    <t xml:space="preserve">Ice Machine Repair &amp; Service in Blacktown</t>
  </si>
  <si>
    <t xml:space="preserve">ice machine repair, ice machine repairs, ice machine service, ice machine repair service, ice maker repair service, ice maker machine repair, restaurant ice machine repair near me</t>
  </si>
  <si>
    <t xml:space="preserve">Big untapped cluster: 8 keywords, KD 3-9. Cafes / restaurants / pubs. Few local competitors have a dedicated page.</t>
  </si>
  <si>
    <t xml:space="preserve">/westinghouse-fridge-repair/</t>
  </si>
  <si>
    <t xml:space="preserve">westinghouse refrigerator repairs</t>
  </si>
  <si>
    <t xml:space="preserve">Westinghouse Fridge Repairs Blacktown | Same Day</t>
  </si>
  <si>
    <t xml:space="preserve">Westinghouse Fridge Repair in Blacktown</t>
  </si>
  <si>
    <t xml:space="preserve">900-1,200</t>
  </si>
  <si>
    <t xml:space="preserve">westinghouse fridge repairs near me, westinghouse repairs near me</t>
  </si>
  <si>
    <t xml:space="preserve">Westinghouse refrigerator repairs = 590/mo, KD 13.</t>
  </si>
  <si>
    <t xml:space="preserve">/freezer-repair-blacktown/</t>
  </si>
  <si>
    <t xml:space="preserve">freezer repair</t>
  </si>
  <si>
    <t xml:space="preserve">Freezer Repair Blacktown | Chest &amp; Upright Freezers</t>
  </si>
  <si>
    <t xml:space="preserve">Freezer Repair in Blacktown</t>
  </si>
  <si>
    <t xml:space="preserve">freeze repair service, freeze repair near me</t>
  </si>
  <si>
    <t xml:space="preserve">Also catches "freeze repair" misspellings. Mention chest, upright, commercial freezers.</t>
  </si>
  <si>
    <t xml:space="preserve">/coolroom-repair/</t>
  </si>
  <si>
    <t xml:space="preserve">coolroom repairs near me</t>
  </si>
  <si>
    <t xml:space="preserve">Coolroom Repairs Blacktown | Cold Room Technicians</t>
  </si>
  <si>
    <t xml:space="preserve">Coolroom &amp; Cold Room Repairs in Blacktown</t>
  </si>
  <si>
    <t xml:space="preserve">cool room repair, commercial cool room repairs, coolroom repair, cold room repairs</t>
  </si>
  <si>
    <t xml:space="preserve">Footer already mentions coolroom repairs but links to #services - no real page yet. CPC up to $15 = very high lead value.</t>
  </si>
  <si>
    <t xml:space="preserve">/fridge-regas/</t>
  </si>
  <si>
    <t xml:space="preserve">refrigerator regas</t>
  </si>
  <si>
    <t xml:space="preserve">Fridge Regas Blacktown | Gas Leak Repair &amp; Recharge</t>
  </si>
  <si>
    <t xml:space="preserve">Fridge Regas &amp; Gas Leak Repair in Blacktown</t>
  </si>
  <si>
    <t xml:space="preserve">-</t>
  </si>
  <si>
    <t xml:space="preserve">Low KD (7). Explain gas type, leak test, regas vs compressor so it also feeds the compressor page.</t>
  </si>
  <si>
    <t xml:space="preserve">Suburb</t>
  </si>
  <si>
    <t xml:space="preserve">/fridge-repair-penrith/</t>
  </si>
  <si>
    <t xml:space="preserve">fridge repairs penrith</t>
  </si>
  <si>
    <t xml:space="preserve">P2</t>
  </si>
  <si>
    <t xml:space="preserve">Fridge Repair Penrith | Local Technicians, Same Day</t>
  </si>
  <si>
    <t xml:space="preserve">Fridge Repair in Penrith</t>
  </si>
  <si>
    <t xml:space="preserve">600-800</t>
  </si>
  <si>
    <t xml:space="preserve">refrigerator repairs penrith, fridge repair penrith</t>
  </si>
  <si>
    <t xml:space="preserve">Tier 1: Semrush demand and/or both competitors cover it. Both Master and Fast have a page. See Suburb Pages tab for the unique-content checklist. Confirm you service this suburb before publishing.</t>
  </si>
  <si>
    <t xml:space="preserve">/fridge-repair-smithfield/</t>
  </si>
  <si>
    <t xml:space="preserve">fridge repairs smithfield</t>
  </si>
  <si>
    <t xml:space="preserve">Fridge Repair Smithfield | Local Technicians, Same Day</t>
  </si>
  <si>
    <t xml:space="preserve">Fridge Repair in Smithfield</t>
  </si>
  <si>
    <t xml:space="preserve">/fridge-repair-parramatta/</t>
  </si>
  <si>
    <t xml:space="preserve">fridge repairs parramatta</t>
  </si>
  <si>
    <t xml:space="preserve">Fridge Repair Parramatta | Local Technicians, Same Day</t>
  </si>
  <si>
    <t xml:space="preserve">Fridge Repair in Parramatta</t>
  </si>
  <si>
    <t xml:space="preserve">/fridge-repair-castle-hill/</t>
  </si>
  <si>
    <t xml:space="preserve">fridge repairs castle hill</t>
  </si>
  <si>
    <t xml:space="preserve">Fridge Repair Castle Hill | Local Technicians, Same Day</t>
  </si>
  <si>
    <t xml:space="preserve">Fridge Repair in Castle Hill</t>
  </si>
  <si>
    <t xml:space="preserve">fridge repair castle hill</t>
  </si>
  <si>
    <t xml:space="preserve">/fridge-repair-glenwood/</t>
  </si>
  <si>
    <t xml:space="preserve">fridge repair glenwood</t>
  </si>
  <si>
    <t xml:space="preserve">Fridge Repair Glenwood | Local Technicians, Same Day</t>
  </si>
  <si>
    <t xml:space="preserve">Fridge Repair in Glenwood</t>
  </si>
  <si>
    <t xml:space="preserve">Tier 1: Semrush demand and/or both competitors cover it. Fast has a page. See Suburb Pages tab for the unique-content checklist.</t>
  </si>
  <si>
    <t xml:space="preserve">/fridge-repair-rouse-hill/</t>
  </si>
  <si>
    <t xml:space="preserve">fridge repair rouse hill</t>
  </si>
  <si>
    <t xml:space="preserve">Fridge Repair Rouse Hill | Local Technicians, Same Day</t>
  </si>
  <si>
    <t xml:space="preserve">Fridge Repair in Rouse Hill</t>
  </si>
  <si>
    <t xml:space="preserve">Tier 1: Semrush demand and/or both competitors cover it. Both Master and Fast have a page. See Suburb Pages tab for the unique-content checklist.</t>
  </si>
  <si>
    <t xml:space="preserve">Week 3 (2 - 8 Nov)</t>
  </si>
  <si>
    <t xml:space="preserve">/lg-fridge-repair/</t>
  </si>
  <si>
    <t xml:space="preserve">lg fridge repair near me</t>
  </si>
  <si>
    <t xml:space="preserve">LG Fridge Repair Blacktown | Local Technicians</t>
  </si>
  <si>
    <t xml:space="preserve">LG Fridge Repair in Blacktown</t>
  </si>
  <si>
    <t xml:space="preserve">lg fridge repairs near me, lg refrigerator repair near me, lg repair near me</t>
  </si>
  <si>
    <t xml:space="preserve">Three near-me variants have identical volume (260) - one page, all variants in H2s / FAQs.</t>
  </si>
  <si>
    <t xml:space="preserve">/samsung-fridge-repair/</t>
  </si>
  <si>
    <t xml:space="preserve">samsung fridge repair near me</t>
  </si>
  <si>
    <t xml:space="preserve">Samsung Fridge Repair Blacktown | Same-Day Service</t>
  </si>
  <si>
    <t xml:space="preserve">Samsung Fridge Repair in Blacktown</t>
  </si>
  <si>
    <t xml:space="preserve">samsung refrigerator repair near me, repair for samsung refrigerator</t>
  </si>
  <si>
    <t xml:space="preserve">Samsung is on the homepage brand list; no page yet.</t>
  </si>
  <si>
    <t xml:space="preserve">/mobile-fridge-repair/</t>
  </si>
  <si>
    <t xml:space="preserve">mobile fridge repairs near me</t>
  </si>
  <si>
    <t xml:space="preserve">Mobile Fridge Repair Blacktown | We Come to You</t>
  </si>
  <si>
    <t xml:space="preserve">Mobile Fridge Repair in Blacktown &amp; Western Sydney</t>
  </si>
  <si>
    <t xml:space="preserve">"Mobile fridge repairs near me" - on-site repair; also support GBP service-area description.</t>
  </si>
  <si>
    <t xml:space="preserve">/fridge-repair-richmond/</t>
  </si>
  <si>
    <t xml:space="preserve">fridge repairs richmond</t>
  </si>
  <si>
    <t xml:space="preserve">P3</t>
  </si>
  <si>
    <t xml:space="preserve">Fridge Repair Richmond | Local Technicians, Same Day</t>
  </si>
  <si>
    <t xml:space="preserve">Fridge Repair in Richmond</t>
  </si>
  <si>
    <t xml:space="preserve">Tier 2: one competitor covers it. Both Master and Fast have a page. See Suburb Pages tab for the unique-content checklist. Confirm you service this suburb before publishing.</t>
  </si>
  <si>
    <t xml:space="preserve">/fridge-repair-st-marys/</t>
  </si>
  <si>
    <t xml:space="preserve">fridge repairs st marys</t>
  </si>
  <si>
    <t xml:space="preserve">Fridge Repair St Marys | Local Technicians, Same Day</t>
  </si>
  <si>
    <t xml:space="preserve">Fridge Repair in St Marys</t>
  </si>
  <si>
    <t xml:space="preserve">/fridge-repair-doonside/</t>
  </si>
  <si>
    <t xml:space="preserve">fridge repair doonside</t>
  </si>
  <si>
    <t xml:space="preserve">&lt;10 (not reported)</t>
  </si>
  <si>
    <t xml:space="preserve">n/a</t>
  </si>
  <si>
    <t xml:space="preserve">Fridge Repair Doonside | Local Technicians, Same Day</t>
  </si>
  <si>
    <t xml:space="preserve">Fridge Repair in Doonside</t>
  </si>
  <si>
    <t xml:space="preserve">/fridge-repair-mount-druitt/</t>
  </si>
  <si>
    <t xml:space="preserve">fridge repair mount druitt</t>
  </si>
  <si>
    <t xml:space="preserve">Fridge Repair Mount Druitt | Local Technicians, Same Day</t>
  </si>
  <si>
    <t xml:space="preserve">Fridge Repair in Mount Druitt</t>
  </si>
  <si>
    <t xml:space="preserve">/fridge-repair-quakers-hill/</t>
  </si>
  <si>
    <t xml:space="preserve">fridge repair quakers hill</t>
  </si>
  <si>
    <t xml:space="preserve">Fridge Repair Quakers Hill | Local Technicians, Same Day</t>
  </si>
  <si>
    <t xml:space="preserve">Fridge Repair in Quakers Hill</t>
  </si>
  <si>
    <t xml:space="preserve">/fridge-repair-seven-hills/</t>
  </si>
  <si>
    <t xml:space="preserve">fridge repair seven hills</t>
  </si>
  <si>
    <t xml:space="preserve">Fridge Repair Seven Hills | Local Technicians, Same Day</t>
  </si>
  <si>
    <t xml:space="preserve">Fridge Repair in Seven Hills</t>
  </si>
  <si>
    <t xml:space="preserve">Week 4 (9 - 15 Nov)</t>
  </si>
  <si>
    <t xml:space="preserve">/electrolux-fridge-repair/</t>
  </si>
  <si>
    <t xml:space="preserve">electrolux refrigerator repair near me</t>
  </si>
  <si>
    <t xml:space="preserve">Electrolux Fridge Repair Blacktown | Local Techs</t>
  </si>
  <si>
    <t xml:space="preserve">Electrolux Fridge Repair in Blacktown</t>
  </si>
  <si>
    <t xml:space="preserve">800-1,100</t>
  </si>
  <si>
    <t xml:space="preserve">electrolux repair near me, electrolux repairs near me</t>
  </si>
  <si>
    <t xml:space="preserve">Homepage brand list has Electrolux; no page yet.</t>
  </si>
  <si>
    <t xml:space="preserve">/fridge-door-seal-replacement/</t>
  </si>
  <si>
    <t xml:space="preserve">fridge seal repair</t>
  </si>
  <si>
    <t xml:space="preserve">Fridge Door Seal Replacement Blacktown | Same Day</t>
  </si>
  <si>
    <t xml:space="preserve">Fridge Door Seal Replacement in Blacktown</t>
  </si>
  <si>
    <t xml:space="preserve">800-1,000</t>
  </si>
  <si>
    <t xml:space="preserve">fridge seal repairs, commercial fridge seal replacement service</t>
  </si>
  <si>
    <t xml:space="preserve">Fast, cheap job = good conversion. Residential + commercial seals.</t>
  </si>
  <si>
    <t xml:space="preserve">/display-fridge-repair/</t>
  </si>
  <si>
    <t xml:space="preserve">display fridge repair</t>
  </si>
  <si>
    <t xml:space="preserve">Display Fridge Repair Blacktown | Commercial Service</t>
  </si>
  <si>
    <t xml:space="preserve">Display Fridge Repair in Blacktown</t>
  </si>
  <si>
    <t xml:space="preserve">Footer link exists but points to #services. Combine with deli / bakery / servery cabinets.</t>
  </si>
  <si>
    <t xml:space="preserve">/fridge-repair-rooty-hill/</t>
  </si>
  <si>
    <t xml:space="preserve">fridge repair rooty hill</t>
  </si>
  <si>
    <t xml:space="preserve">Fridge Repair Rooty Hill | Local Technicians, Same Day</t>
  </si>
  <si>
    <t xml:space="preserve">Fridge Repair in Rooty Hill</t>
  </si>
  <si>
    <t xml:space="preserve">Tier 2: one competitor covers it. Master has a page. See Suburb Pages tab for the unique-content checklist.</t>
  </si>
  <si>
    <t xml:space="preserve">/fridge-repair-plumpton/</t>
  </si>
  <si>
    <t xml:space="preserve">fridge repair plumpton</t>
  </si>
  <si>
    <t xml:space="preserve">Fridge Repair Plumpton | Local Technicians, Same Day</t>
  </si>
  <si>
    <t xml:space="preserve">Fridge Repair in Plumpton</t>
  </si>
  <si>
    <t xml:space="preserve">/fridge-repair-riverstone/</t>
  </si>
  <si>
    <t xml:space="preserve">fridge repair riverstone</t>
  </si>
  <si>
    <t xml:space="preserve">Fridge Repair Riverstone | Local Technicians, Same Day</t>
  </si>
  <si>
    <t xml:space="preserve">Fridge Repair in Riverstone</t>
  </si>
  <si>
    <t xml:space="preserve">/fridge-repair-prospect/</t>
  </si>
  <si>
    <t xml:space="preserve">fridge repair prospect</t>
  </si>
  <si>
    <t xml:space="preserve">Fridge Repair Prospect | Local Technicians, Same Day</t>
  </si>
  <si>
    <t xml:space="preserve">Fridge Repair in Prospect</t>
  </si>
  <si>
    <t xml:space="preserve">Tier 2: one competitor covers it. Fast has a page. See Suburb Pages tab for the unique-content checklist.</t>
  </si>
  <si>
    <t xml:space="preserve">/fridge-repair-lalor-park/</t>
  </si>
  <si>
    <t xml:space="preserve">fridge repair lalor park</t>
  </si>
  <si>
    <t xml:space="preserve">Fridge Repair Lalor Park | Local Technicians, Same Day</t>
  </si>
  <si>
    <t xml:space="preserve">Fridge Repair in Lalor Park</t>
  </si>
  <si>
    <t xml:space="preserve">/fridge-repair-glendenning/</t>
  </si>
  <si>
    <t xml:space="preserve">fridge repair glendenning</t>
  </si>
  <si>
    <t xml:space="preserve">Fridge Repair Glendenning | Local Technicians, Same Day</t>
  </si>
  <si>
    <t xml:space="preserve">Fridge Repair in Glendenning</t>
  </si>
  <si>
    <t xml:space="preserve">Week 5 (16 - 22 Nov)</t>
  </si>
  <si>
    <t xml:space="preserve">/bar-fridge-repair/</t>
  </si>
  <si>
    <t xml:space="preserve">bar fridge repairs</t>
  </si>
  <si>
    <t xml:space="preserve">Bar &amp; Mini Fridge Repair Blacktown | Fast Service</t>
  </si>
  <si>
    <t xml:space="preserve">Bar Fridge &amp; Mini Fridge Repair in Blacktown</t>
  </si>
  <si>
    <t xml:space="preserve">mini fridge repair</t>
  </si>
  <si>
    <t xml:space="preserve">Small but easy win (KD 8-11).</t>
  </si>
  <si>
    <t xml:space="preserve">/fridge-repair-schofields/</t>
  </si>
  <si>
    <t xml:space="preserve">fridge repair schofields</t>
  </si>
  <si>
    <t xml:space="preserve">Fridge Repair Schofields | Local Technicians, Same Day</t>
  </si>
  <si>
    <t xml:space="preserve">Fridge Repair in Schofields</t>
  </si>
  <si>
    <t xml:space="preserve">/fridge-repair-the-ponds/</t>
  </si>
  <si>
    <t xml:space="preserve">fridge repair the ponds</t>
  </si>
  <si>
    <t xml:space="preserve">Fridge Repair The Ponds | Local Technicians, Same Day</t>
  </si>
  <si>
    <t xml:space="preserve">Fridge Repair in The Ponds</t>
  </si>
  <si>
    <t xml:space="preserve">/fridge-repair-kellyville-ridge/</t>
  </si>
  <si>
    <t xml:space="preserve">fridge repair kellyville ridge</t>
  </si>
  <si>
    <t xml:space="preserve">Fridge Repair Kellyville Ridge | Local Technicians, Same Day</t>
  </si>
  <si>
    <t xml:space="preserve">Fridge Repair in Kellyville Ridge</t>
  </si>
  <si>
    <t xml:space="preserve">/fridge-repair-pendle-hill/</t>
  </si>
  <si>
    <t xml:space="preserve">fridge repair pendle hill</t>
  </si>
  <si>
    <t xml:space="preserve">Fridge Repair Pendle Hill | Local Technicians, Same Day</t>
  </si>
  <si>
    <t xml:space="preserve">Fridge Repair in Pendle Hill</t>
  </si>
  <si>
    <t xml:space="preserve">/fridge-repair-wentworthville/</t>
  </si>
  <si>
    <t xml:space="preserve">fridge repair wentworthville</t>
  </si>
  <si>
    <t xml:space="preserve">Fridge Repair Wentworthville | Local Technicians, Same Day</t>
  </si>
  <si>
    <t xml:space="preserve">Fridge Repair in Wentworthville</t>
  </si>
  <si>
    <t xml:space="preserve">Week 6 (23 - 29 Nov)</t>
  </si>
  <si>
    <t xml:space="preserve">Hub</t>
  </si>
  <si>
    <t xml:space="preserve">/fridge-repair-sydney/</t>
  </si>
  <si>
    <t xml:space="preserve">fridge repair in sydney</t>
  </si>
  <si>
    <t xml:space="preserve">Fridge Repair Sydney | Western Sydney Technicians</t>
  </si>
  <si>
    <t xml:space="preserve">Fridge Repair Across Sydney</t>
  </si>
  <si>
    <t xml:space="preserve">refrigerator repair sydney, fridge repairs potts point, fridge repairs double bay, fridge repairs coogee, fridge repair inner west, fridge repairs eastern suburbs, fridge repairs bondi, fridge repairs darlinghurst (+6 more in Keywords tab)</t>
  </si>
  <si>
    <t xml:space="preserve">One hub page for Sydney-wide + inner west / eastern suburbs searches instead of 13 thin suburb pages. Publish only if you travel there.</t>
  </si>
  <si>
    <t xml:space="preserve">/fridge-compressor-repair/</t>
  </si>
  <si>
    <t xml:space="preserve">refrigeration compressor repairs</t>
  </si>
  <si>
    <t xml:space="preserve">Fridge Compressor Repair Blacktown | Fast Diagnosis</t>
  </si>
  <si>
    <t xml:space="preserve">Fridge Compressor Repair &amp; Replacement in Blacktown</t>
  </si>
  <si>
    <t xml:space="preserve">Support page for regas / not-cooling / noisy fridge.</t>
  </si>
  <si>
    <t xml:space="preserve">/fridge-repair-greystanes/</t>
  </si>
  <si>
    <t xml:space="preserve">fridge repair greystanes</t>
  </si>
  <si>
    <t xml:space="preserve">Fridge Repair Greystanes | Local Technicians, Same Day</t>
  </si>
  <si>
    <t xml:space="preserve">Fridge Repair in Greystanes</t>
  </si>
  <si>
    <t xml:space="preserve">/fridge-repair-kings-park/</t>
  </si>
  <si>
    <t xml:space="preserve">fridge repair kings park</t>
  </si>
  <si>
    <t xml:space="preserve">Fridge Repair Kings Park | Local Technicians, Same Day</t>
  </si>
  <si>
    <t xml:space="preserve">Fridge Repair in Kings Park</t>
  </si>
  <si>
    <t xml:space="preserve">Tier 3: no competitor page - lowest effort to rank, lowest volume. NO competitor has a page here - easy local win. See Suburb Pages tab for the unique-content checklist.</t>
  </si>
  <si>
    <t xml:space="preserve">/fridge-repair-marayong/</t>
  </si>
  <si>
    <t xml:space="preserve">fridge repair marayong</t>
  </si>
  <si>
    <t xml:space="preserve">Fridge Repair Marayong | Local Technicians, Same Day</t>
  </si>
  <si>
    <t xml:space="preserve">Fridge Repair in Marayong</t>
  </si>
  <si>
    <t xml:space="preserve">/fridge-repair-kings-langley/</t>
  </si>
  <si>
    <t xml:space="preserve">fridge repair kings langley</t>
  </si>
  <si>
    <t xml:space="preserve">Fridge Repair Kings Langley | Local Technicians, Same Day</t>
  </si>
  <si>
    <t xml:space="preserve">Fridge Repair in Kings Langley</t>
  </si>
  <si>
    <t xml:space="preserve">/fridge-repair-woodcroft/</t>
  </si>
  <si>
    <t xml:space="preserve">fridge repair woodcroft</t>
  </si>
  <si>
    <t xml:space="preserve">Fridge Repair Woodcroft | Local Technicians, Same Day</t>
  </si>
  <si>
    <t xml:space="preserve">Fridge Repair in Woodcroft</t>
  </si>
  <si>
    <t xml:space="preserve">/fridge-repair-minchinbury/</t>
  </si>
  <si>
    <t xml:space="preserve">fridge repair minchinbury</t>
  </si>
  <si>
    <t xml:space="preserve">Fridge Repair Minchinbury | Local Technicians, Same Day</t>
  </si>
  <si>
    <t xml:space="preserve">Fridge Repair in Minchinbury</t>
  </si>
  <si>
    <t xml:space="preserve">Week 7 (30 Nov - 6 Dec)</t>
  </si>
  <si>
    <t xml:space="preserve">/miele-fridge-repair/</t>
  </si>
  <si>
    <t xml:space="preserve">miele repair near me</t>
  </si>
  <si>
    <t xml:space="preserve">Miele Fridge Repair Blacktown &amp; Western Sydney</t>
  </si>
  <si>
    <t xml:space="preserve">Miele Fridge Repair in Blacktown</t>
  </si>
  <si>
    <t xml:space="preserve">700-900</t>
  </si>
  <si>
    <t xml:space="preserve">miele repairs near me</t>
  </si>
  <si>
    <t xml:space="preserve">Premium brand; low volume, supports "premium brands" trust. Can be merged into one page with Smeg if time is short.</t>
  </si>
  <si>
    <t xml:space="preserve">/smeg-fridge-repair/</t>
  </si>
  <si>
    <t xml:space="preserve">smeg repairs near me</t>
  </si>
  <si>
    <t xml:space="preserve">Smeg Fridge Repair Blacktown &amp; Western Sydney</t>
  </si>
  <si>
    <t xml:space="preserve">Smeg Fridge Repair in Blacktown</t>
  </si>
  <si>
    <t xml:space="preserve">Can be merged with Miele into /premium-fridge-repair/ if you want fewer pages.</t>
  </si>
  <si>
    <t xml:space="preserve">/fridge-repair-st-clair/</t>
  </si>
  <si>
    <t xml:space="preserve">fridge repair st clair</t>
  </si>
  <si>
    <t xml:space="preserve">Fridge Repair St Clair | Local Technicians, Same Day</t>
  </si>
  <si>
    <t xml:space="preserve">Fridge Repair in St Clair</t>
  </si>
  <si>
    <t xml:space="preserve">/fridge-repair-acacia-gardens/</t>
  </si>
  <si>
    <t xml:space="preserve">fridge repair acacia gardens</t>
  </si>
  <si>
    <t xml:space="preserve">Fridge Repair Acacia Gardens | Local Technicians, Same Day</t>
  </si>
  <si>
    <t xml:space="preserve">Fridge Repair in Acacia Gardens</t>
  </si>
  <si>
    <t xml:space="preserve">/fridge-repair-marsden-park/</t>
  </si>
  <si>
    <t xml:space="preserve">fridge repair marsden park</t>
  </si>
  <si>
    <t xml:space="preserve">Fridge Repair Marsden Park | Local Technicians, Same Day</t>
  </si>
  <si>
    <t xml:space="preserve">Fridge Repair in Marsden Park</t>
  </si>
  <si>
    <t xml:space="preserve">/fridge-repair-stanhope-gardens/</t>
  </si>
  <si>
    <t xml:space="preserve">fridge repair stanhope gardens</t>
  </si>
  <si>
    <t xml:space="preserve">Fridge Repair Stanhope Gardens | Local Technicians, Same Day</t>
  </si>
  <si>
    <t xml:space="preserve">Fridge Repair in Stanhope Gardens</t>
  </si>
  <si>
    <t xml:space="preserve">/fridge-repair-parklea/</t>
  </si>
  <si>
    <t xml:space="preserve">fridge repair parklea</t>
  </si>
  <si>
    <t xml:space="preserve">Fridge Repair Parklea | Local Technicians, Same Day</t>
  </si>
  <si>
    <t xml:space="preserve">Fridge Repair in Parklea</t>
  </si>
  <si>
    <t xml:space="preserve">/fridge-repair-toongabbie/</t>
  </si>
  <si>
    <t xml:space="preserve">fridge repair toongabbie</t>
  </si>
  <si>
    <t xml:space="preserve">Fridge Repair Toongabbie | Local Technicians, Same Day</t>
  </si>
  <si>
    <t xml:space="preserve">Fridge Repair in Toongabbie</t>
  </si>
  <si>
    <t xml:space="preserve">Week 8 (7 - 13 Dec)</t>
  </si>
  <si>
    <t xml:space="preserve">/fridge-repair-campbelltown/</t>
  </si>
  <si>
    <t xml:space="preserve">refrigeration technicians campbelltown</t>
  </si>
  <si>
    <t xml:space="preserve">Fridge Repair Campbelltown | Local Technicians, Same Day</t>
  </si>
  <si>
    <t xml:space="preserve">Fridge Repair in Campbelltown</t>
  </si>
  <si>
    <t xml:space="preserve">fridge repairs campbelltown nsw, refrigerator repairs campbelltown</t>
  </si>
  <si>
    <t xml:space="preserve">Extended: publish only if you service this area. Both Master and Fast have a page. See Suburb Pages tab for the unique-content checklist. Confirm you service this suburb before publishing.</t>
  </si>
  <si>
    <t xml:space="preserve">/fridge-repair-bankstown/</t>
  </si>
  <si>
    <t xml:space="preserve">fridge repairs bankstown</t>
  </si>
  <si>
    <t xml:space="preserve">Fridge Repair Bankstown | Local Technicians, Same Day</t>
  </si>
  <si>
    <t xml:space="preserve">Fridge Repair in Bankstown</t>
  </si>
  <si>
    <t xml:space="preserve">Extended: publish only if you service this area. Fast has a page. See Suburb Pages tab for the unique-content checklist. Confirm you service this suburb before publishing.</t>
  </si>
  <si>
    <t xml:space="preserve">/fridge-repair-bossley-park/</t>
  </si>
  <si>
    <t xml:space="preserve">fridge repairs bossley park</t>
  </si>
  <si>
    <t xml:space="preserve">Fridge Repair Bossley Park | Local Technicians, Same Day</t>
  </si>
  <si>
    <t xml:space="preserve">Fridge Repair in Bossley Park</t>
  </si>
  <si>
    <t xml:space="preserve">Extended: publish only if you service this area. NO competitor has a page here - easy local win. See Suburb Pages tab for the unique-content checklist. Confirm you service this suburb before publishing.</t>
  </si>
  <si>
    <t xml:space="preserve">/fridge-repair-girraween/</t>
  </si>
  <si>
    <t xml:space="preserve">fridge repair girraween</t>
  </si>
  <si>
    <t xml:space="preserve">Fridge Repair Girraween | Local Technicians, Same Day</t>
  </si>
  <si>
    <t xml:space="preserve">Fridge Repair in Girraween</t>
  </si>
  <si>
    <t xml:space="preserve">Commercial zone</t>
  </si>
  <si>
    <t xml:space="preserve">/commercial-refrigeration-eastern-creek-arndell-park/</t>
  </si>
  <si>
    <t xml:space="preserve">commercial refrigeration repair eastern creek</t>
  </si>
  <si>
    <t xml:space="preserve">Commercial Refrigeration Repair Eastern Creek &amp; Arndell Park</t>
  </si>
  <si>
    <t xml:space="preserve">Commercial Refrigeration Repair in Eastern Creek, Arndell Park &amp; Huntingwood</t>
  </si>
  <si>
    <t xml:space="preserve">Commercial angle: cafes, restaurants, warehouses, food processors in the industrial zones listed on the homepage. Tier 3: no competitor page - lowest effort to rank, lowest volume.</t>
  </si>
  <si>
    <t xml:space="preserve">/service-areas/</t>
  </si>
  <si>
    <t xml:space="preserve">(support page - no target keyword)</t>
  </si>
  <si>
    <t xml:space="preserve">Service Areas | Blacktown &amp; Western Sydney Suburbs We Cover</t>
  </si>
  <si>
    <t xml:space="preserve">Areas We Service Across Blacktown &amp; Western Sydney</t>
  </si>
  <si>
    <t xml:space="preserve">500-900</t>
  </si>
  <si>
    <t xml:space="preserve">Hub page: list every suburb you service (grouped North-west / West / Central / East) with a link to its own suburb page. Gives internal links to all suburb pages and covers "Blacktown and surrounding suburbs" searches.</t>
  </si>
  <si>
    <t xml:space="preserve">Support</t>
  </si>
  <si>
    <t xml:space="preserve">/fridge-repair-cost/</t>
  </si>
  <si>
    <t xml:space="preserve">Fridge Repair Cost Blacktown | Call-Out &amp; Price Guide</t>
  </si>
  <si>
    <t xml:space="preserve">How Much Does Fridge Repair Cost in Blacktown?</t>
  </si>
  <si>
    <t xml:space="preserve">Support page from the previous plan. No Semrush keyword at volume 50+ in the KD 0-20 filter; it still converts price-checkers. Confirm real pricing first.</t>
  </si>
  <si>
    <t xml:space="preserve">/fridge-not-cooling-repair/</t>
  </si>
  <si>
    <t xml:space="preserve">(existing fault page - see notes)</t>
  </si>
  <si>
    <t xml:space="preserve">Fridge Not Cooling? Repairs in Blacktown | Same Day</t>
  </si>
  <si>
    <t xml:space="preserve">Fridge Not Cooling? Same-Day Repair in Blacktown</t>
  </si>
  <si>
    <t xml:space="preserve">EXISTING page. Fault searches are mostly informational so no Commercial / Transactional keyword at 50+ volume appeared in the KD 0-20 filter, but it converts: link it from the blog posts and the homepage fault section.</t>
  </si>
  <si>
    <t xml:space="preserve">/contact/</t>
  </si>
  <si>
    <t xml:space="preserve">Contact Fridge Repairs Blacktown | Call or Book Online</t>
  </si>
  <si>
    <t xml:space="preserve">Contact Fridge Repairs Blacktown</t>
  </si>
  <si>
    <t xml:space="preserve">No phone number is visible on the homepage - add one site-wide. Needed for NAP / GBP consistency.</t>
  </si>
  <si>
    <t xml:space="preserve">TOTAL</t>
  </si>
  <si>
    <t xml:space="preserve">Suburb page plan - 4 tiers (Semrush AU + competitor sitemaps, 16 Oct 2026)</t>
  </si>
  <si>
    <t xml:space="preserve">Rule: a suburb page goes live only with unique local content. Checklist for EVERY page:</t>
  </si>
  <si>
    <t xml:space="preserve">1. Real suburb details: postcode, 3-5 nearby streets / landmarks / shopping centre, typical local housing (units, townhouses, older homes) - from your own knowledge of the jobs.</t>
  </si>
  <si>
    <t xml:space="preserve">2. At least 2 real jobs done in that suburb (fault, brand, fix, time to complete) + photo with suburb in the caption / alt text; add a real review from a customer in that suburb when available.</t>
  </si>
  <si>
    <t xml:space="preserve">3. Own FAQ (3-5 questions that differ per suburb: travel time, same-day availability, call-out fee, common brands in that area), embedded map, phone number and booking form above the fold.</t>
  </si>
  <si>
    <t xml:space="preserve">4. Internal links: to the 3 most relevant service pages, 2 brand pages, /service-areas/ and 2 neighbouring suburb pages. Link to it from /service-areas/ and the homepage area section.</t>
  </si>
  <si>
    <t xml:space="preserve">5. Never copy a page and only replace the suburb name. After 8 weeks, merge or noindex any suburb page that has zero impressions in Search Console.</t>
  </si>
  <si>
    <t xml:space="preserve">Tier</t>
  </si>
  <si>
    <t xml:space="preserve">Postcode (verify)</t>
  </si>
  <si>
    <t xml:space="preserve">Region</t>
  </si>
  <si>
    <t xml:space="preserve">On your homepage service list?</t>
  </si>
  <si>
    <t xml:space="preserve">Semrush AU vol/mo</t>
  </si>
  <si>
    <t xml:space="preserve">KD %</t>
  </si>
  <si>
    <t xml:space="preserve">Master Fridge Repairs has page?</t>
  </si>
  <si>
    <t xml:space="preserve">Fast Fridge Repairs has page?</t>
  </si>
  <si>
    <t xml:space="preserve">Best competitor visits/mo on that suburb page</t>
  </si>
  <si>
    <t xml:space="preserve">Why this tier</t>
  </si>
  <si>
    <t xml:space="preserve">Tier 1</t>
  </si>
  <si>
    <t xml:space="preserve">Penrith</t>
  </si>
  <si>
    <t xml:space="preserve">2750</t>
  </si>
  <si>
    <t xml:space="preserve">West</t>
  </si>
  <si>
    <t xml:space="preserve">No - confirm you service it</t>
  </si>
  <si>
    <t xml:space="preserve">Yes</t>
  </si>
  <si>
    <t xml:space="preserve">Semrush demand and / or both competitors have this page</t>
  </si>
  <si>
    <t xml:space="preserve">Smithfield</t>
  </si>
  <si>
    <t xml:space="preserve">2164</t>
  </si>
  <si>
    <t xml:space="preserve">Parramatta</t>
  </si>
  <si>
    <t xml:space="preserve">2150</t>
  </si>
  <si>
    <t xml:space="preserve">Central-west</t>
  </si>
  <si>
    <t xml:space="preserve">Castle Hill</t>
  </si>
  <si>
    <t xml:space="preserve">2154</t>
  </si>
  <si>
    <t xml:space="preserve">Hills District</t>
  </si>
  <si>
    <t xml:space="preserve">Glenwood</t>
  </si>
  <si>
    <t xml:space="preserve">2768</t>
  </si>
  <si>
    <t xml:space="preserve">North-west</t>
  </si>
  <si>
    <t xml:space="preserve">No</t>
  </si>
  <si>
    <t xml:space="preserve">Rouse Hill</t>
  </si>
  <si>
    <t xml:space="preserve">2155</t>
  </si>
  <si>
    <t xml:space="preserve">St Marys</t>
  </si>
  <si>
    <t xml:space="preserve">2760</t>
  </si>
  <si>
    <t xml:space="preserve">Doonside</t>
  </si>
  <si>
    <t xml:space="preserve">2767</t>
  </si>
  <si>
    <t xml:space="preserve">Mount Druitt</t>
  </si>
  <si>
    <t xml:space="preserve">2770</t>
  </si>
  <si>
    <t xml:space="preserve">Quakers Hill</t>
  </si>
  <si>
    <t xml:space="preserve">2763</t>
  </si>
  <si>
    <t xml:space="preserve">Seven Hills</t>
  </si>
  <si>
    <t xml:space="preserve">2147</t>
  </si>
  <si>
    <t xml:space="preserve">Central</t>
  </si>
  <si>
    <t xml:space="preserve">Tier 2</t>
  </si>
  <si>
    <t xml:space="preserve">Richmond</t>
  </si>
  <si>
    <t xml:space="preserve">2753</t>
  </si>
  <si>
    <t xml:space="preserve">Hawkesbury</t>
  </si>
  <si>
    <t xml:space="preserve">One competitor has this page - proven local demand, moderate effort</t>
  </si>
  <si>
    <t xml:space="preserve">Rooty Hill</t>
  </si>
  <si>
    <t xml:space="preserve">2766</t>
  </si>
  <si>
    <t xml:space="preserve">Plumpton</t>
  </si>
  <si>
    <t xml:space="preserve">2761</t>
  </si>
  <si>
    <t xml:space="preserve">Riverstone</t>
  </si>
  <si>
    <t xml:space="preserve">2765</t>
  </si>
  <si>
    <t xml:space="preserve">Prospect</t>
  </si>
  <si>
    <t xml:space="preserve">2148</t>
  </si>
  <si>
    <t xml:space="preserve">Lalor Park</t>
  </si>
  <si>
    <t xml:space="preserve">Glendenning</t>
  </si>
  <si>
    <t xml:space="preserve">Schofields</t>
  </si>
  <si>
    <t xml:space="preserve">2762</t>
  </si>
  <si>
    <t xml:space="preserve">The Ponds</t>
  </si>
  <si>
    <t xml:space="preserve">2769</t>
  </si>
  <si>
    <t xml:space="preserve">Kellyville Ridge</t>
  </si>
  <si>
    <t xml:space="preserve">Pendle Hill</t>
  </si>
  <si>
    <t xml:space="preserve">2145</t>
  </si>
  <si>
    <t xml:space="preserve">East</t>
  </si>
  <si>
    <t xml:space="preserve">Wentworthville</t>
  </si>
  <si>
    <t xml:space="preserve">Greystanes</t>
  </si>
  <si>
    <t xml:space="preserve">Tier 3</t>
  </si>
  <si>
    <t xml:space="preserve">Kings Park</t>
  </si>
  <si>
    <t xml:space="preserve">No competitor page in this suburb - easy to rank, very low volume</t>
  </si>
  <si>
    <t xml:space="preserve">Marayong</t>
  </si>
  <si>
    <t xml:space="preserve">Kings Langley</t>
  </si>
  <si>
    <t xml:space="preserve">Woodcroft</t>
  </si>
  <si>
    <t xml:space="preserve">Minchinbury</t>
  </si>
  <si>
    <t xml:space="preserve">St Clair</t>
  </si>
  <si>
    <t xml:space="preserve">2759</t>
  </si>
  <si>
    <t xml:space="preserve">Acacia Gardens</t>
  </si>
  <si>
    <t xml:space="preserve">Marsden Park</t>
  </si>
  <si>
    <t xml:space="preserve">Stanhope Gardens</t>
  </si>
  <si>
    <t xml:space="preserve">Parklea</t>
  </si>
  <si>
    <t xml:space="preserve">Toongabbie</t>
  </si>
  <si>
    <t xml:space="preserve">2146</t>
  </si>
  <si>
    <t xml:space="preserve">Girraween</t>
  </si>
  <si>
    <t xml:space="preserve">Eastern Creek / Arndell Park / Huntingwood</t>
  </si>
  <si>
    <t xml:space="preserve">2766 / 2148 / 2148</t>
  </si>
  <si>
    <t xml:space="preserve">Industrial zones</t>
  </si>
  <si>
    <t xml:space="preserve">Extended</t>
  </si>
  <si>
    <t xml:space="preserve">Campbelltown</t>
  </si>
  <si>
    <t xml:space="preserve">2560</t>
  </si>
  <si>
    <t xml:space="preserve">South-west</t>
  </si>
  <si>
    <t xml:space="preserve">Outside core area - publish only if you service it</t>
  </si>
  <si>
    <t xml:space="preserve">Bankstown</t>
  </si>
  <si>
    <t xml:space="preserve">2200</t>
  </si>
  <si>
    <t xml:space="preserve">Bossley Park</t>
  </si>
  <si>
    <t xml:space="preserve">2176</t>
  </si>
  <si>
    <t xml:space="preserve">Green cells = no competitor page for that suburb yet. Postcodes marked "verify": confirm before publishing. "&lt;10 (not reported)" = Semrush shows the keyword but no volume.</t>
  </si>
  <si>
    <t xml:space="preserve">Keyword</t>
  </si>
  <si>
    <t xml:space="preserve">Search Intent (Semrush)</t>
  </si>
  <si>
    <t xml:space="preserve">Volume (AU/mo)</t>
  </si>
  <si>
    <t xml:space="preserve">CPC (USD)</t>
  </si>
  <si>
    <t xml:space="preserve">Opportunity Score</t>
  </si>
  <si>
    <t xml:space="preserve">Cluster</t>
  </si>
  <si>
    <t xml:space="preserve">Local Relevance</t>
  </si>
  <si>
    <t xml:space="preserve">Target Page</t>
  </si>
  <si>
    <t xml:space="preserve">Role</t>
  </si>
  <si>
    <t xml:space="preserve">Previous plan target page</t>
  </si>
  <si>
    <t xml:space="preserve">Transactional</t>
  </si>
  <si>
    <t xml:space="preserve">Near Me / Mechanic</t>
  </si>
  <si>
    <t xml:space="preserve">Core</t>
  </si>
  <si>
    <t xml:space="preserve">EXISTING PAGE</t>
  </si>
  <si>
    <t xml:space="preserve">PRIMARY</t>
  </si>
  <si>
    <t xml:space="preserve">fridge repairs</t>
  </si>
  <si>
    <t xml:space="preserve">Commercial</t>
  </si>
  <si>
    <t xml:space="preserve">Core Fridge Repair</t>
  </si>
  <si>
    <t xml:space="preserve">Secondary</t>
  </si>
  <si>
    <t xml:space="preserve">fridge repair</t>
  </si>
  <si>
    <t xml:space="preserve">Brands</t>
  </si>
  <si>
    <t xml:space="preserve">NEW PAGE</t>
  </si>
  <si>
    <t xml:space="preserve">/fisher-and-paykel-fridge-repair/</t>
  </si>
  <si>
    <t xml:space="preserve">Residential Service</t>
  </si>
  <si>
    <t xml:space="preserve">Commercial Refrigeration</t>
  </si>
  <si>
    <t xml:space="preserve">fridge service and repair</t>
  </si>
  <si>
    <t xml:space="preserve">commercial freezer repair</t>
  </si>
  <si>
    <t xml:space="preserve">fisher &amp; paykel fridge repairs</t>
  </si>
  <si>
    <t xml:space="preserve">fisher and paykel refrigerator repair</t>
  </si>
  <si>
    <t xml:space="preserve">commercial fridge repair</t>
  </si>
  <si>
    <t xml:space="preserve">Freezer</t>
  </si>
  <si>
    <t xml:space="preserve">refrigerator mechanic near me</t>
  </si>
  <si>
    <t xml:space="preserve">commercial refrigeration repairs</t>
  </si>
  <si>
    <t xml:space="preserve">refrigerator repair service</t>
  </si>
  <si>
    <t xml:space="preserve">commercial refrigeration services</t>
  </si>
  <si>
    <t xml:space="preserve">Ice Machine</t>
  </si>
  <si>
    <t xml:space="preserve">fridge technician near me</t>
  </si>
  <si>
    <t xml:space="preserve">fridge mechanic</t>
  </si>
  <si>
    <t xml:space="preserve">lg fridge repairs near me</t>
  </si>
  <si>
    <t xml:space="preserve">lg refrigerator repair near me</t>
  </si>
  <si>
    <t xml:space="preserve">fisher and paykel appliance repairs</t>
  </si>
  <si>
    <t xml:space="preserve">Transactional / Navigational</t>
  </si>
  <si>
    <t xml:space="preserve">fisher and paykel repair service near me</t>
  </si>
  <si>
    <t xml:space="preserve">fisher and paykel service repair</t>
  </si>
  <si>
    <t xml:space="preserve">fisher paykel appliance repair near me</t>
  </si>
  <si>
    <t xml:space="preserve">Emergency / Same-day</t>
  </si>
  <si>
    <t xml:space="preserve">refrigeration service</t>
  </si>
  <si>
    <t xml:space="preserve">ice machine repair</t>
  </si>
  <si>
    <t xml:space="preserve">refrigerator commercial repair</t>
  </si>
  <si>
    <t xml:space="preserve">refridgerator repairs</t>
  </si>
  <si>
    <t xml:space="preserve">refigerator repair</t>
  </si>
  <si>
    <t xml:space="preserve">repair fridges</t>
  </si>
  <si>
    <t xml:space="preserve">fisher paykel repair near me</t>
  </si>
  <si>
    <t xml:space="preserve">Local - Western Sydney</t>
  </si>
  <si>
    <t xml:space="preserve">technician for fridge</t>
  </si>
  <si>
    <t xml:space="preserve">refrigerator freezer repair</t>
  </si>
  <si>
    <t xml:space="preserve">refrigerator refrigerator repair</t>
  </si>
  <si>
    <t xml:space="preserve">commercial fridge service</t>
  </si>
  <si>
    <t xml:space="preserve">refrigerator service</t>
  </si>
  <si>
    <t xml:space="preserve">fridge freezer repairs</t>
  </si>
  <si>
    <t xml:space="preserve">fridge repair technician</t>
  </si>
  <si>
    <t xml:space="preserve">Coolroom / Cold Room</t>
  </si>
  <si>
    <t xml:space="preserve">/service-areas/ (own page in Month 3+)</t>
  </si>
  <si>
    <t xml:space="preserve">Regas / Compressor / Seals</t>
  </si>
  <si>
    <t xml:space="preserve">commercial freezer repairs</t>
  </si>
  <si>
    <t xml:space="preserve">ice machine repairs</t>
  </si>
  <si>
    <t xml:space="preserve">westinghouse fridge repairs near me</t>
  </si>
  <si>
    <t xml:space="preserve">fridge repair service</t>
  </si>
  <si>
    <t xml:space="preserve">commercial refrigeration repair near me</t>
  </si>
  <si>
    <t xml:space="preserve">samsung refrigerator repair near me</t>
  </si>
  <si>
    <t xml:space="preserve">repairs for fridge freezers</t>
  </si>
  <si>
    <t xml:space="preserve">commercial freezer repair near me</t>
  </si>
  <si>
    <t xml:space="preserve">commercial fridge repair near me</t>
  </si>
  <si>
    <t xml:space="preserve">fisher and paykel repairs near me</t>
  </si>
  <si>
    <t xml:space="preserve">cool room repair</t>
  </si>
  <si>
    <t xml:space="preserve">fridge repairs potts point</t>
  </si>
  <si>
    <t xml:space="preserve">P4 - Optional</t>
  </si>
  <si>
    <t xml:space="preserve">Local - Sydney Wide</t>
  </si>
  <si>
    <t xml:space="preserve">Low relevance</t>
  </si>
  <si>
    <t xml:space="preserve">fridge repairs blacktown</t>
  </si>
  <si>
    <t xml:space="preserve">Local - Blacktown</t>
  </si>
  <si>
    <t xml:space="preserve">ice machine service</t>
  </si>
  <si>
    <t xml:space="preserve">fridge repair tech</t>
  </si>
  <si>
    <t xml:space="preserve">refrigerator repairing near me</t>
  </si>
  <si>
    <t xml:space="preserve">westinghouse repairs near me</t>
  </si>
  <si>
    <t xml:space="preserve">fridge repair and services</t>
  </si>
  <si>
    <t xml:space="preserve">refrigeration repair service near me</t>
  </si>
  <si>
    <t xml:space="preserve">commercial cool room repairs</t>
  </si>
  <si>
    <t xml:space="preserve">ice machine repair service</t>
  </si>
  <si>
    <t xml:space="preserve">commercial appliance repair</t>
  </si>
  <si>
    <t xml:space="preserve">freeze repair service</t>
  </si>
  <si>
    <t xml:space="preserve">ice maker repair service</t>
  </si>
  <si>
    <t xml:space="preserve">ice maker machine repair</t>
  </si>
  <si>
    <t xml:space="preserve">refrigerator repairs penrith</t>
  </si>
  <si>
    <t xml:space="preserve">freezer repair commercial</t>
  </si>
  <si>
    <t xml:space="preserve">freeze repair near me</t>
  </si>
  <si>
    <t xml:space="preserve">fisher and paykel fridge repairs near me</t>
  </si>
  <si>
    <t xml:space="preserve">electrolux repair near me</t>
  </si>
  <si>
    <t xml:space="preserve">lg repair near me</t>
  </si>
  <si>
    <t xml:space="preserve">electrolux repairs near me</t>
  </si>
  <si>
    <t xml:space="preserve">commercial refrigeration mechanic</t>
  </si>
  <si>
    <t xml:space="preserve">restaurant ice machine repair near me</t>
  </si>
  <si>
    <t xml:space="preserve">fridge repairs double bay</t>
  </si>
  <si>
    <t xml:space="preserve">fridge repairing services</t>
  </si>
  <si>
    <t xml:space="preserve">commercial refrigerator repair</t>
  </si>
  <si>
    <t xml:space="preserve">coolroom repair</t>
  </si>
  <si>
    <t xml:space="preserve">fridge repairs coogee</t>
  </si>
  <si>
    <t xml:space="preserve">commercial fridge repairs campbelltown</t>
  </si>
  <si>
    <t xml:space="preserve">fridge repair inner west</t>
  </si>
  <si>
    <t xml:space="preserve">fridge repairs eastern suburbs</t>
  </si>
  <si>
    <t xml:space="preserve">fridge repairs bondi</t>
  </si>
  <si>
    <t xml:space="preserve">fridge repairs darlinghurst</t>
  </si>
  <si>
    <t xml:space="preserve">Display / Bar / Mini</t>
  </si>
  <si>
    <t xml:space="preserve">fridge seal repairs</t>
  </si>
  <si>
    <t xml:space="preserve">fridges repairs</t>
  </si>
  <si>
    <t xml:space="preserve">fisher and paykel service near me</t>
  </si>
  <si>
    <t xml:space="preserve">domestic fridge repairs</t>
  </si>
  <si>
    <t xml:space="preserve">same day fridge repair</t>
  </si>
  <si>
    <t xml:space="preserve">repairing fridge</t>
  </si>
  <si>
    <t xml:space="preserve">fridge repairs campbelltown nsw</t>
  </si>
  <si>
    <t xml:space="preserve">fridge repair balmain</t>
  </si>
  <si>
    <t xml:space="preserve">fridge repairs manly</t>
  </si>
  <si>
    <t xml:space="preserve">fridge repair blacktown</t>
  </si>
  <si>
    <t xml:space="preserve">technician for refrigerator</t>
  </si>
  <si>
    <t xml:space="preserve">refrigerator repairs campbelltown</t>
  </si>
  <si>
    <t xml:space="preserve">fridge repair marrickville</t>
  </si>
  <si>
    <t xml:space="preserve">fridge repair bondi</t>
  </si>
  <si>
    <t xml:space="preserve">urgent fridge repair</t>
  </si>
  <si>
    <t xml:space="preserve">fridge repair penrith</t>
  </si>
  <si>
    <t xml:space="preserve">fridge repairs strathfield</t>
  </si>
  <si>
    <t xml:space="preserve">fridge repairs camperdown</t>
  </si>
  <si>
    <t xml:space="preserve">fridge repairing near me</t>
  </si>
  <si>
    <t xml:space="preserve">fridge and freezer repair</t>
  </si>
  <si>
    <t xml:space="preserve">cold room repairs</t>
  </si>
  <si>
    <t xml:space="preserve">repair for samsung refrigerator</t>
  </si>
  <si>
    <t xml:space="preserve">commercial fridge seal replacement service</t>
  </si>
  <si>
    <t xml:space="preserve">refrigerator repair sydney</t>
  </si>
  <si>
    <t xml:space="preserve">commercial refrigeration service near me</t>
  </si>
  <si>
    <t xml:space="preserve">emergency refrigerator repair</t>
  </si>
  <si>
    <t xml:space="preserve">refrigeration repair near me</t>
  </si>
  <si>
    <t xml:space="preserve">Top 10 Organic Competitors - Blacktown / Sydney fridge repair SERPs (Semrush, Australia, desktop, 16 Oct 2026)</t>
  </si>
  <si>
    <t xml:space="preserve">Domain</t>
  </si>
  <si>
    <t xml:space="preserve">Competes for</t>
  </si>
  <si>
    <t xml:space="preserve">SERP position</t>
  </si>
  <si>
    <t xml:space="preserve">Ranking URL</t>
  </si>
  <si>
    <t xml:space="preserve">Domain Authority Score</t>
  </si>
  <si>
    <t xml:space="preserve">Backlinks (SERP table)</t>
  </si>
  <si>
    <t xml:space="preserve">Est. SERP traffic</t>
  </si>
  <si>
    <t xml:space="preserve">Domain organic traffic / mo</t>
  </si>
  <si>
    <t xml:space="preserve">Domain organic keywords</t>
  </si>
  <si>
    <t xml:space="preserve">Ref. domains</t>
  </si>
  <si>
    <t xml:space="preserve">What they do well</t>
  </si>
  <si>
    <t xml:space="preserve">How we beat them</t>
  </si>
  <si>
    <t xml:space="preserve">masterfridgerepairs.com.au</t>
  </si>
  <si>
    <t xml:space="preserve">#1 (Blacktown)</t>
  </si>
  <si>
    <t xml:space="preserve">https://masterfridgerepairs.com.au/fridge-repairs-blacktown/</t>
  </si>
  <si>
    <t xml:space="preserve">Dedicated Blacktown suburb page; broad service coverage; strongest local rival.</t>
  </si>
  <si>
    <t xml:space="preserve">Match with a stronger homepage + GBP + reviews; add brand / coolroom / ice machine pages they likely lack.</t>
  </si>
  <si>
    <t xml:space="preserve">fridgerepairs.com.au</t>
  </si>
  <si>
    <t xml:space="preserve">fridge repair sydney</t>
  </si>
  <si>
    <t xml:space="preserve">#1 (Sydney)</t>
  </si>
  <si>
    <t xml:space="preserve">https://fridgerepairs.com.au/</t>
  </si>
  <si>
    <t xml:space="preserve">Exact-match domain; highest estimated SERP traffic among local players; 22 AI mentions.</t>
  </si>
  <si>
    <t xml:space="preserve">Only AS 10 - beatable. Win Western Sydney suburb + brand long-tail where they are thin.</t>
  </si>
  <si>
    <t xml:space="preserve">ajtappliances.com.au</t>
  </si>
  <si>
    <t xml:space="preserve">#2 (Blacktown)</t>
  </si>
  <si>
    <t xml:space="preserve">https://ajtappliances.com.au/fridge-repair/new-south-wales/blacktown/</t>
  </si>
  <si>
    <t xml:space="preserve">Location template page for Blacktown.</t>
  </si>
  <si>
    <t xml:space="preserve">Small site (84 keywords). Overtake with deeper content and FAQ / schema.</t>
  </si>
  <si>
    <t xml:space="preserve">parrahills.com.au</t>
  </si>
  <si>
    <t xml:space="preserve">#4 (Blacktown)</t>
  </si>
  <si>
    <t xml:space="preserve">https://www.parrahills.com.au/BlacktownFridgeRepairs.html</t>
  </si>
  <si>
    <t xml:space="preserve">Single static Blacktown page.</t>
  </si>
  <si>
    <t xml:space="preserve">Low authority (AS 8, 242 backlinks). Quick win once indexed.</t>
  </si>
  <si>
    <t xml:space="preserve">norwestapplianceservice.com.au</t>
  </si>
  <si>
    <t xml:space="preserve">#5 (Blacktown)</t>
  </si>
  <si>
    <t xml:space="preserve">https://www.norwestapplianceservice.com.au/areas-we-services/blacktown/</t>
  </si>
  <si>
    <t xml:space="preserve">Appliance-wide business with area pages.</t>
  </si>
  <si>
    <t xml:space="preserve">General appliance brand - a fridge-specialist page can out-focus them.</t>
  </si>
  <si>
    <t xml:space="preserve">smartappliance.com.au</t>
  </si>
  <si>
    <t xml:space="preserve">#7 (Blacktown)</t>
  </si>
  <si>
    <t xml:space="preserve">https://smartappliance.com.au/</t>
  </si>
  <si>
    <t xml:space="preserve">Homepage ranks (no dedicated Blacktown page).</t>
  </si>
  <si>
    <t xml:space="preserve">A dedicated, locally optimised page beats a homepage.</t>
  </si>
  <si>
    <t xml:space="preserve">fastfridgerepairs.com.au</t>
  </si>
  <si>
    <t xml:space="preserve">blacktown + sydney</t>
  </si>
  <si>
    <t xml:space="preserve">#10 Blacktown / #4 Sydney</t>
  </si>
  <si>
    <t xml:space="preserve">https://fastfridgerepairs.com.au/fridge-repairs-blacktown/</t>
  </si>
  <si>
    <t xml:space="preserve">1.7K</t>
  </si>
  <si>
    <t xml:space="preserve">Ranks in both Blacktown and Sydney SERPs; has Google reviews in snippet.</t>
  </si>
  <si>
    <t xml:space="preserve">Reviews are the gap: build 25+ GBP reviews and add review schema.</t>
  </si>
  <si>
    <t xml:space="preserve">sydneyfridgerepair.com.au</t>
  </si>
  <si>
    <t xml:space="preserve">#2 (Sydney)</t>
  </si>
  <si>
    <t xml:space="preserve">https://www.sydneyfridgerepair.com.au/</t>
  </si>
  <si>
    <t xml:space="preserve">Exact-match domain; 261 referring domains.</t>
  </si>
  <si>
    <t xml:space="preserve">Out-localise them: Western Sydney suburbs + commercial pages.</t>
  </si>
  <si>
    <t xml:space="preserve">bestrepairs.com.au</t>
  </si>
  <si>
    <t xml:space="preserve">#5 (Sydney)</t>
  </si>
  <si>
    <t xml:space="preserve">https://bestrepairs.com.au/</t>
  </si>
  <si>
    <t xml:space="preserve">1.9K</t>
  </si>
  <si>
    <t xml:space="preserve">Homepage ranks; decent traffic estimate.</t>
  </si>
  <si>
    <t xml:space="preserve">Thin on service depth; win with dedicated service / brand pages.</t>
  </si>
  <si>
    <t xml:space="preserve">commercialfridgerepairs.com.au</t>
  </si>
  <si>
    <t xml:space="preserve">commercial refrigeration repair sydney</t>
  </si>
  <si>
    <t xml:space="preserve">#8 (commercial)</t>
  </si>
  <si>
    <t xml:space="preserve">https://commercialfridgerepairs.com.au/</t>
  </si>
  <si>
    <t xml:space="preserve">5.1K</t>
  </si>
  <si>
    <t xml:space="preserve">Commercial-only specialist; best backlink profile in this list (AS 17).</t>
  </si>
  <si>
    <t xml:space="preserve">Their weakness: no residential. Compete on commercial + coolroom + ice machine pages with local trust signals.</t>
  </si>
  <si>
    <t xml:space="preserve">Other domains seen in the same SERPs</t>
  </si>
  <si>
    <t xml:space="preserve">Type</t>
  </si>
  <si>
    <t xml:space="preserve">Note</t>
  </si>
  <si>
    <t xml:space="preserve">Action</t>
  </si>
  <si>
    <t xml:space="preserve">cold-rite.com.au</t>
  </si>
  <si>
    <t xml:space="preserve">Commercial competitor</t>
  </si>
  <si>
    <t xml:space="preserve">#1 commercial refrigeration repair sydney</t>
  </si>
  <si>
    <t xml:space="preserve">https://cold-rite.com.au/breakdown-service/</t>
  </si>
  <si>
    <t xml:space="preserve">2.9K</t>
  </si>
  <si>
    <t xml:space="preserve">Commercial rival with breakdown-service page.</t>
  </si>
  <si>
    <t xml:space="preserve">Study their breakdown / 24-7 page for the commercial + emergency pages.</t>
  </si>
  <si>
    <t xml:space="preserve">commercialrefrigerationnsw.com.au</t>
  </si>
  <si>
    <t xml:space="preserve">#5 commercial</t>
  </si>
  <si>
    <t xml:space="preserve">https://commercialrefrigerationnsw.com.au/</t>
  </si>
  <si>
    <t xml:space="preserve">1.6K</t>
  </si>
  <si>
    <t xml:space="preserve">Homepage ranks.</t>
  </si>
  <si>
    <t xml:space="preserve">Beat with a dedicated Blacktown commercial page.</t>
  </si>
  <si>
    <t xml:space="preserve">jdrgrp.com.au / makrefrigeration.com.au / acarlosrefrigeration.com.au / agilityfridgerepairs.com.au</t>
  </si>
  <si>
    <t xml:space="preserve">Commercial competitors</t>
  </si>
  <si>
    <t xml:space="preserve">#2-#6 commercial</t>
  </si>
  <si>
    <t xml:space="preserve">various</t>
  </si>
  <si>
    <t xml:space="preserve">9-15</t>
  </si>
  <si>
    <t xml:space="preserve">465-3.3K</t>
  </si>
  <si>
    <t xml:space="preserve">Small commercial refrigeration firms (AS 9-15).</t>
  </si>
  <si>
    <t xml:space="preserve">All low authority - commercial cluster is realistic.</t>
  </si>
  <si>
    <t xml:space="preserve">yellowpages.com.au</t>
  </si>
  <si>
    <t xml:space="preserve">Directory</t>
  </si>
  <si>
    <t xml:space="preserve">#3 Blacktown</t>
  </si>
  <si>
    <t xml:space="preserve">https://www.yellowpages.com.au/blacktown-nsw-2148/fridge-repairs</t>
  </si>
  <si>
    <t xml:space="preserve">2.7M</t>
  </si>
  <si>
    <t xml:space="preserve">693.8K</t>
  </si>
  <si>
    <t xml:space="preserve">Cannot outrank on authority.</t>
  </si>
  <si>
    <t xml:space="preserve">List the business (free citation).</t>
  </si>
  <si>
    <t xml:space="preserve">airtasker.com</t>
  </si>
  <si>
    <t xml:space="preserve">Marketplace</t>
  </si>
  <si>
    <t xml:space="preserve">#6 Blacktown / #3 Sydney</t>
  </si>
  <si>
    <t xml:space="preserve">https://www.airtasker.com/au/services/fridge-repair-installation/blacktown/</t>
  </si>
  <si>
    <t xml:space="preserve">892K</t>
  </si>
  <si>
    <t xml:space="preserve">272.1K</t>
  </si>
  <si>
    <t xml:space="preserve">Marketplace - not a direct competitor.</t>
  </si>
  <si>
    <t xml:space="preserve">Ignore; they hold top positions mostly by authority.</t>
  </si>
  <si>
    <t xml:space="preserve">service.com.au / localsearch.com.au</t>
  </si>
  <si>
    <t xml:space="preserve">#8 Blacktown / #8 Sydney</t>
  </si>
  <si>
    <t xml:space="preserve">36-58</t>
  </si>
  <si>
    <t xml:space="preserve">11.5K-387.6K</t>
  </si>
  <si>
    <t xml:space="preserve">29.7K-977.2K</t>
  </si>
  <si>
    <t xml:space="preserve">Review-rich directories.</t>
  </si>
  <si>
    <t xml:space="preserve">Claim listings with identical NAP.</t>
  </si>
  <si>
    <t xml:space="preserve">facebook.com</t>
  </si>
  <si>
    <t xml:space="preserve">Social</t>
  </si>
  <si>
    <t xml:space="preserve">#9 Blacktown / #6 Sydney</t>
  </si>
  <si>
    <t xml:space="preserve">groups / SydneyRefrigerationRepairs</t>
  </si>
  <si>
    <t xml:space="preserve">33.8B</t>
  </si>
  <si>
    <t xml:space="preserve">56.0M</t>
  </si>
  <si>
    <t xml:space="preserve">Not a real competitor.</t>
  </si>
  <si>
    <t xml:space="preserve">Create a Facebook business page linked to the site.</t>
  </si>
  <si>
    <t xml:space="preserve">bunneys.com.au / sydneyappliance.com.au / sydneyapplianceservices.net.au</t>
  </si>
  <si>
    <t xml:space="preserve">Appliance retailers / services</t>
  </si>
  <si>
    <t xml:space="preserve">Sydney #7-#10</t>
  </si>
  <si>
    <t xml:space="preserve">8-20</t>
  </si>
  <si>
    <t xml:space="preserve">279-3.7K</t>
  </si>
  <si>
    <t xml:space="preserve">Mixed appliance businesses.</t>
  </si>
  <si>
    <t xml:space="preserve">Low priority.</t>
  </si>
  <si>
    <t xml:space="preserve">Takeaway</t>
  </si>
  <si>
    <t xml:space="preserve">• Local fridge-repair competitors have Domain Authority 8-17 and only 150-260 referring domains - low authority means KD stays 0-20 and a well-built site with reviews can compete.</t>
  </si>
  <si>
    <t xml:space="preserve">• Only 3-4 competitors have a dedicated Blacktown page (masterfridgerepairs, ajtappliances, parrahills, fastfridgerepairs). Nobody visible has dedicated brand, coolroom or ice-machine pages for Blacktown - that is the gap this plan fills.</t>
  </si>
  <si>
    <t xml:space="preserve">• Domain-level traffic / keyword / referring-domain figures were only captured for masterfridgerepairs, fridgerepairs, ajtappliances (and referring domains for sydneyfridgerepair); the Semrush session stalled on the rest, so those cells show n/a.</t>
  </si>
  <si>
    <t xml:space="preserve">Competitor suburb-page footprint (sitemaps + Semrush Top Pages, 16 Oct 2026)</t>
  </si>
  <si>
    <t xml:space="preserve">Total URLs</t>
  </si>
  <si>
    <t xml:space="preserve">Suburb pages</t>
  </si>
  <si>
    <t xml:space="preserve">Brand pages</t>
  </si>
  <si>
    <t xml:space="preserve">Service / product pages</t>
  </si>
  <si>
    <t xml:space="preserve">Domain organic traffic</t>
  </si>
  <si>
    <t xml:space="preserve">Homepage traffic (share)</t>
  </si>
  <si>
    <t xml:space="preserve">All suburb pages traffic (share)</t>
  </si>
  <si>
    <t xml:space="preserve">Best suburb pages (visits/mo)</t>
  </si>
  <si>
    <t xml:space="preserve">Reading</t>
  </si>
  <si>
    <t xml:space="preserve">Conclusion</t>
  </si>
  <si>
    <t xml:space="preserve">111+ (sitemap truncated)</t>
  </si>
  <si>
    <t xml:space="preserve">391 (69%)</t>
  </si>
  <si>
    <t xml:space="preserve">~64 (~11%)</t>
  </si>
  <si>
    <t xml:space="preserve">Campbelltown 19, Blacktown 11, Penrith 10, Double Bay 7, Parramatta 3</t>
  </si>
  <si>
    <t xml:space="preserve">Ranks #1 for "fridge repairs blacktown" with a dedicated suburb page, but that page only gets ~11 visits. Coolroom page = 47 visits (#2 page).</t>
  </si>
  <si>
    <t xml:space="preserve">Suburb pages build local relevance, not volume. Coolroom + homepage carry the traffic.</t>
  </si>
  <si>
    <t xml:space="preserve">191+ (sitemap truncated)</t>
  </si>
  <si>
    <t xml:space="preserve">119 (50%)</t>
  </si>
  <si>
    <t xml:space="preserve">~51 (~22%)</t>
  </si>
  <si>
    <t xml:space="preserve">Penrith 14, Castle Hill 13, Parramatta 6, Bondi 5, Richmond 5</t>
  </si>
  <si>
    <t xml:space="preserve">Has pages for ~25 of your suburbs (Seven Hills, Quakers Hill, Mt Druitt, Doonside, Schofields, The Ponds...) yet almost all show 0-1 visits. A regas guide page earns 44 visits.</t>
  </si>
  <si>
    <t xml:space="preserve">Mass suburb pages alone do not produce traffic: copy the coverage, win with unique content, reviews and service / brand pages.</t>
  </si>
  <si>
    <t xml:space="preserve">fridgerepairblacktown.com.au - what exists today (sitemap + homepage review, 16 Oct 2026)</t>
  </si>
  <si>
    <t xml:space="preserve">Exists?</t>
  </si>
  <si>
    <t xml:space="preserve">Mapped keywords (Semrush)</t>
  </si>
  <si>
    <t xml:space="preserve">Total volume</t>
  </si>
  <si>
    <t xml:space="preserve">Primary keyword</t>
  </si>
  <si>
    <t xml:space="preserve">Yes - in sitemap</t>
  </si>
  <si>
    <t xml:space="preserve">Optimise title / H1 / copy to the target keywords on the Page Map tab</t>
  </si>
  <si>
    <t xml:space="preserve">No Commercial/Transactional keyword in KD 0-20 filter with 50+ volume</t>
  </si>
  <si>
    <t xml:space="preserve">Keep and optimise. Fault searches are mostly informational (blog), but the page converts. Link from blog posts.</t>
  </si>
  <si>
    <t xml:space="preserve">/about-us/</t>
  </si>
  <si>
    <t xml:space="preserve">Keep. Add licence / ARCtick numbers, owner photo (trust page).</t>
  </si>
  <si>
    <t xml:space="preserve">/blog/</t>
  </si>
  <si>
    <t xml:space="preserve">Keep. Existing posts should link to the money pages.</t>
  </si>
  <si>
    <t xml:space="preserve">Issues found on the live homepage</t>
  </si>
  <si>
    <t xml:space="preserve">1. No phone number anywhere on the homepage - only an email and a booking form. For a local service business this is the biggest conversion and local-SEO (NAP) gap.</t>
  </si>
  <si>
    <t xml:space="preserve">2. Footer links Coolroom Repairs, Display Fridge Repairs and Salad Bar Fridge Repairs all point to #services - these pages do not exist yet (created in this plan).</t>
  </si>
  <si>
    <t xml:space="preserve">3. Several "Learn more" and suburb links point to "#" (dead links). Homepage says suburb pages are "being added progressively" - Area and Brand footer links go to #areas / #brands.</t>
  </si>
  <si>
    <t xml:space="preserve">4. Unfinished content visible on the page: developer note about replacing sample reviews with 3 real Google reviews, pricing placeholders "[confirm %]" and "[confirm]", map and review widget placeholders. Remove or complete before indexing.</t>
  </si>
  <si>
    <t xml:space="preserve">5. Navigation uses on-page anchors (#services, #brands, #faq-section) for key sections - brand and area sections need real URLs.</t>
  </si>
  <si>
    <t xml:space="preserve">6. Sitemap contains only 9 URLs. Previous plan also notes bots were blocked and 0 pages indexed - verify in Search Console that robots / noindex is fixed before any ranking can happen.</t>
  </si>
  <si>
    <t xml:space="preserve">7. Semrush currently sees 39 organic keywords for the domain in Australia with ~0 traffic - effectively a brand-new site, so expect rankings to start with the low-KD terms in this list.</t>
  </si>
  <si>
    <t xml:space="preserve">Week</t>
  </si>
  <si>
    <t xml:space="preserve">Dates</t>
  </si>
  <si>
    <t xml:space="preserve">Task</t>
  </si>
  <si>
    <t xml:space="preserve">Pages</t>
  </si>
  <si>
    <t xml:space="preserve">Why (Semrush data)</t>
  </si>
  <si>
    <t xml:space="preserve">Week 1</t>
  </si>
  <si>
    <t xml:space="preserve">19 - 25 Oct</t>
  </si>
  <si>
    <t xml:space="preserve">Fix &amp; finish: add phone number + click-to-call, remove dev notes / placeholders, fix "#" links, confirm indexing in Search Console, submit sitemap</t>
  </si>
  <si>
    <t xml:space="preserve">/ , /contact/</t>
  </si>
  <si>
    <t xml:space="preserve">Nothing ranks until pages are indexed and complete</t>
  </si>
  <si>
    <t xml:space="preserve">Create / claim Google Business Profile (category: Refrigerator repair service) with identical NAP; ask for first reviews</t>
  </si>
  <si>
    <t xml:space="preserve">GBP</t>
  </si>
  <si>
    <t xml:space="preserve">"Near me" terms (fridge repairs near me 2,400/mo) are won in the Map Pack</t>
  </si>
  <si>
    <t xml:space="preserve">OPTIMISE existing pages (title, H1, copy, FAQ, internal links)</t>
  </si>
  <si>
    <t xml:space="preserve">/, /commercial-fridge-repair-blacktown/, /residential-fridge-repair/, /emergency-fridge-repair/</t>
  </si>
  <si>
    <t xml:space="preserve">Targets: fridge repairs near me (2,400/mo, KD 12); commercial refrigeration repair (720/mo, KD 14); repair refrigerator service (720/mo, KD 13); emergency commercial refrigeration repair (210/mo, KD 5)</t>
  </si>
  <si>
    <t xml:space="preserve">PUBLISH new service / brand pages</t>
  </si>
  <si>
    <t xml:space="preserve">Targets: fisher and paykel fridge repairs (1,000/mo, KD 12)</t>
  </si>
  <si>
    <t xml:space="preserve">Build the suburb page template + a data sheet per suburb (postcode, streets / landmarks, nearest commercial zone, real jobs and photos, local review). No page goes live with only the suburb name swapped</t>
  </si>
  <si>
    <t xml:space="preserve">Template</t>
  </si>
  <si>
    <t xml:space="preserve">Competitors use 80-133 suburb pages; to avoid thin / doorway content every page needs unique local detail</t>
  </si>
  <si>
    <t xml:space="preserve">Week 2</t>
  </si>
  <si>
    <t xml:space="preserve">26 Oct - 1 Nov</t>
  </si>
  <si>
    <t xml:space="preserve">/freezer-repair-blacktown/, /fridge-regas/</t>
  </si>
  <si>
    <t xml:space="preserve">Targets: freezer repair (480/mo, KD 7); refrigerator regas (140/mo, KD 7)</t>
  </si>
  <si>
    <t xml:space="preserve">/ice-machine-repair/, /westinghouse-fridge-repair/, /coolroom-repair/</t>
  </si>
  <si>
    <t xml:space="preserve">Targets: refrigerator ice machine repair (320/mo, KD 6); westinghouse refrigerator repairs (590/mo, KD 13); coolroom repairs near me (170/mo, KD 20)</t>
  </si>
  <si>
    <t xml:space="preserve">PUBLISH suburb pages (Tier 1) - each with unique local content, own FAQ and local proof</t>
  </si>
  <si>
    <t xml:space="preserve">/fridge-repair-penrith/, /fridge-repair-smithfield/, /fridge-repair-parramatta/, /fridge-repair-castle-hill/, /fridge-repair-glenwood/, /fridge-repair-rouse-hill/</t>
  </si>
  <si>
    <t xml:space="preserve">Targets: fridge repairs penrith (140/mo, KD 7); fridge repairs smithfield (170/mo, KD 5); fridge repairs parramatta (140/mo, KD 5); fridge repairs castle hill (70/mo, KD 4); fridge repair glenwood (70/mo, KD 4); fridge repair rouse hill (50/mo, KD 4)</t>
  </si>
  <si>
    <t xml:space="preserve">Publish /service-areas/ hub; link every suburb + brand page from it and from the homepage</t>
  </si>
  <si>
    <t xml:space="preserve">Hub passes internal link equity to all suburb pages</t>
  </si>
  <si>
    <t xml:space="preserve">Publish /fridge-repair-cost/ price guide (after confirming real prices)</t>
  </si>
  <si>
    <t xml:space="preserve">Captures price-checkers; supports conversions</t>
  </si>
  <si>
    <t xml:space="preserve">Week 3</t>
  </si>
  <si>
    <t xml:space="preserve">2 - 8 Nov</t>
  </si>
  <si>
    <t xml:space="preserve">/lg-fridge-repair/, /samsung-fridge-repair/, /mobile-fridge-repair/</t>
  </si>
  <si>
    <t xml:space="preserve">Targets: lg fridge repair near me (260/mo, KD 11); samsung fridge repair near me (210/mo, KD 10); mobile fridge repairs near me (210/mo, KD 13)</t>
  </si>
  <si>
    <t xml:space="preserve">PUBLISH suburb pages (Tier 1, 2) - each with unique local content, own FAQ and local proof</t>
  </si>
  <si>
    <t xml:space="preserve">/fridge-repair-richmond/, /fridge-repair-st-marys/, /fridge-repair-doonside/, /fridge-repair-mount-druitt/, /fridge-repair-quakers-hill/, /fridge-repair-seven-hills/</t>
  </si>
  <si>
    <t xml:space="preserve">Targets: fridge repairs richmond (90/mo, KD 6); fridge repairs st marys (50/mo, KD 6); plus low-volume local long-tail for the rest</t>
  </si>
  <si>
    <t xml:space="preserve">Add 3+ internal links from existing blog posts to money pages; first 10 directory citations (Yellow Pages, True Local, Hotfrog, Bing Places...)</t>
  </si>
  <si>
    <t xml:space="preserve">Blog + citations</t>
  </si>
  <si>
    <t xml:space="preserve">Competitors have 150-260 referring domains - start building links / citations early</t>
  </si>
  <si>
    <t xml:space="preserve">Week 4</t>
  </si>
  <si>
    <t xml:space="preserve">9 - 15 Nov</t>
  </si>
  <si>
    <t xml:space="preserve">/electrolux-fridge-repair/, /fridge-door-seal-replacement/, /display-fridge-repair/</t>
  </si>
  <si>
    <t xml:space="preserve">Targets: electrolux refrigerator repair near me (110/mo, KD 15); fridge seal repair (90/mo, KD 5); display fridge repair (50/mo, KD 5)</t>
  </si>
  <si>
    <t xml:space="preserve">PUBLISH suburb pages (Tier 2) - each with unique local content, own FAQ and local proof</t>
  </si>
  <si>
    <t xml:space="preserve">/fridge-repair-rooty-hill/, /fridge-repair-plumpton/, /fridge-repair-riverstone/, /fridge-repair-prospect/, /fridge-repair-lalor-park/, /fridge-repair-glendenning/</t>
  </si>
  <si>
    <t xml:space="preserve">Targets: ; plus low-volume local long-tail for the rest</t>
  </si>
  <si>
    <t xml:space="preserve">Week 5</t>
  </si>
  <si>
    <t xml:space="preserve">16 - 22 Nov</t>
  </si>
  <si>
    <t xml:space="preserve">Targets: bar fridge repairs (70/mo, KD 8)</t>
  </si>
  <si>
    <t xml:space="preserve">/fridge-repair-schofields/, /fridge-repair-the-ponds/, /fridge-repair-kellyville-ridge/, /fridge-repair-pendle-hill/, /fridge-repair-wentworthville/</t>
  </si>
  <si>
    <t xml:space="preserve">Review Search Console: impressions / positions per page; adjust titles on pages stuck at positions 8-20</t>
  </si>
  <si>
    <t xml:space="preserve">All</t>
  </si>
  <si>
    <t xml:space="preserve">Low KD terms should show movement within 4-8 weeks</t>
  </si>
  <si>
    <t xml:space="preserve">Week 6</t>
  </si>
  <si>
    <t xml:space="preserve">23 - 29 Nov</t>
  </si>
  <si>
    <t xml:space="preserve">/fridge-repair-sydney/, /fridge-compressor-repair/</t>
  </si>
  <si>
    <t xml:space="preserve">Targets: fridge repair in sydney (110/mo, KD 14); refrigeration compressor repairs (90/mo, KD 4)</t>
  </si>
  <si>
    <t xml:space="preserve">PUBLISH suburb pages (Tier 2, 3) - each with unique local content, own FAQ and local proof</t>
  </si>
  <si>
    <t xml:space="preserve">/fridge-repair-greystanes/, /fridge-repair-kings-park/, /fridge-repair-marayong/, /fridge-repair-kings-langley/, /fridge-repair-woodcroft/, /fridge-repair-minchinbury/</t>
  </si>
  <si>
    <t xml:space="preserve">Week 7</t>
  </si>
  <si>
    <t xml:space="preserve">30 Nov - 6 Dec</t>
  </si>
  <si>
    <t xml:space="preserve">/miele-fridge-repair/, /smeg-fridge-repair/</t>
  </si>
  <si>
    <t xml:space="preserve">Targets: miele repair near me (110/mo, KD 19); smeg repairs near me (140/mo, KD 17)</t>
  </si>
  <si>
    <t xml:space="preserve">PUBLISH suburb pages (Tier 3) - each with unique local content, own FAQ and local proof</t>
  </si>
  <si>
    <t xml:space="preserve">/fridge-repair-st-clair/, /fridge-repair-acacia-gardens/, /fridge-repair-marsden-park/, /fridge-repair-stanhope-gardens/, /fridge-repair-parklea/, /fridge-repair-toongabbie/</t>
  </si>
  <si>
    <t xml:space="preserve">Week 8</t>
  </si>
  <si>
    <t xml:space="preserve">7 - 13 Dec</t>
  </si>
  <si>
    <t xml:space="preserve">PUBLISH suburb pages (Tier 3, 4) - each with unique local content, own FAQ and local proof</t>
  </si>
  <si>
    <t xml:space="preserve">/fridge-repair-campbelltown/, /fridge-repair-bankstown/, /fridge-repair-bossley-park/, /fridge-repair-girraween/, /commercial-refrigeration-eastern-creek-arndell-park/</t>
  </si>
  <si>
    <t xml:space="preserve">Targets: refrigeration technicians campbelltown (90/mo, KD 8); fridge repairs bankstown (50/mo, KD 5); fridge repairs bossley park (50/mo, KD 6); plus low-volume local long-tail for the rest</t>
  </si>
  <si>
    <t xml:space="preserve">Review suburb pages: keep and expand those getting impressions; merge or noindex any suburb page with zero impressions after 8 weeks (do not keep thin pages)</t>
  </si>
  <si>
    <t xml:space="preserve">Competitor data shows most suburb pages get 0-3 visits - judge each by Search Console</t>
  </si>
  <si>
    <t xml:space="preserve">Pull Semrush positions again; re-run KD 0-20 filter with KD 21-35 for the next wave (e.g. fridge repairs sydney, fridge repair near me variants)</t>
  </si>
  <si>
    <t xml:space="preserve">Next phase keywords</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</si>
</sst>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1F3864"/>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C6EFCE"/>
        <bgColor rgb="FFE2EFDA"/>
      </patternFill>
    </fill>
    <fill>
      <patternFill patternType="solid">
        <fgColor rgb="FFDDEBF7"/>
        <bgColor rgb="FFEDEDED"/>
      </patternFill>
    </fill>
    <fill>
      <patternFill patternType="solid">
        <fgColor rgb="FFFFEB9C"/>
        <bgColor rgb="FFE2EFDA"/>
      </patternFill>
    </fill>
    <fill>
      <patternFill patternType="solid">
        <fgColor rgb="FFF2F2F2"/>
        <bgColor rgb="FFEDEDED"/>
      </patternFill>
    </fill>
    <fill>
      <patternFill patternType="solid">
        <fgColor rgb="FFEDEDED"/>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CC"/>
      <rgbColor rgb="FFCC99FF"/>
      <rgbColor rgb="FFEDEDE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5" min="2" style="0" width="16"/>
    <col collapsed="false" customWidth="true" hidden="false" outlineLevel="0" max="6" min="6"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COUNTIFS(Keywords!H2:H140,"&lt;&gt;P4 - Optional")</f>
        <v>126</v>
      </c>
    </row>
    <row r="6" customFormat="false" ht="15" hidden="false" customHeight="false" outlineLevel="0" collapsed="false">
      <c r="A6" s="4" t="s">
        <v>4</v>
      </c>
      <c r="B6" s="5" t="n">
        <f aca="false">SUMIFS(Keywords!D2:D140,Keywords!H2:H140,"&lt;&gt;P4 - Optional")</f>
        <v>27010</v>
      </c>
    </row>
    <row r="7" customFormat="false" ht="15" hidden="false" customHeight="false" outlineLevel="0" collapsed="false">
      <c r="A7" s="4" t="s">
        <v>5</v>
      </c>
      <c r="B7" s="6" t="n">
        <f aca="false">ROUND(AVERAGEIFS(Keywords!E2:E140,Keywords!H2:H140,"&lt;&gt;P4 - Optional"),1)</f>
        <v>10.7</v>
      </c>
    </row>
    <row r="8" customFormat="false" ht="15" hidden="false" customHeight="false" outlineLevel="0" collapsed="false">
      <c r="A8" s="4" t="s">
        <v>6</v>
      </c>
      <c r="B8" s="5" t="n">
        <f aca="false">COUNTIFS(Keywords!L2:L140,"EXISTING PAGE",Keywords!H2:H140,"&lt;&gt;P4 - Optional")</f>
        <v>60</v>
      </c>
    </row>
    <row r="9" customFormat="false" ht="15" hidden="false" customHeight="false" outlineLevel="0" collapsed="false">
      <c r="A9" s="4" t="s">
        <v>7</v>
      </c>
      <c r="B9" s="5" t="n">
        <f aca="false">COUNTIFS(Keywords!L2:L140,"NEW PAGE",Keywords!H2:H140,"&lt;&gt;P4 - Optional")</f>
        <v>66</v>
      </c>
    </row>
    <row r="10" customFormat="false" ht="15" hidden="false" customHeight="false" outlineLevel="0" collapsed="false">
      <c r="A10" s="4" t="s">
        <v>8</v>
      </c>
      <c r="B10" s="5" t="n">
        <f aca="false">COUNTIF('Page Map'!C2:C66,"EXISTING - optimise")</f>
        <v>7</v>
      </c>
    </row>
    <row r="11" customFormat="false" ht="15" hidden="false" customHeight="false" outlineLevel="0" collapsed="false">
      <c r="A11" s="4" t="s">
        <v>9</v>
      </c>
      <c r="B11" s="5" t="n">
        <f aca="false">COUNTIF('Page Map'!C2:C66,"NEW")</f>
        <v>58</v>
      </c>
    </row>
    <row r="12" customFormat="false" ht="15" hidden="false" customHeight="false" outlineLevel="0" collapsed="false">
      <c r="A12" s="4" t="s">
        <v>10</v>
      </c>
      <c r="B12" s="5" t="n">
        <f aca="false">COUNTIF(Keywords!H2:H140,"P4 - Optional")</f>
        <v>13</v>
      </c>
    </row>
    <row r="13" customFormat="false" ht="15" hidden="false" customHeight="false" outlineLevel="0" collapsed="false">
      <c r="A13" s="4" t="s">
        <v>11</v>
      </c>
      <c r="B13" s="5" t="n">
        <f aca="false">COUNTIF(Keywords!N2:N140,"No - new find")</f>
        <v>112</v>
      </c>
    </row>
    <row r="14" customFormat="false" ht="15" hidden="false" customHeight="false" outlineLevel="0" collapsed="false">
      <c r="A14" s="4" t="s">
        <v>12</v>
      </c>
      <c r="B14" s="5" t="n">
        <f aca="false">COUNTIF('Page Map'!D2:D66,"Suburb")+COUNTIF('Page Map'!D2:D66,"Commercial zone")</f>
        <v>40</v>
      </c>
    </row>
    <row r="16" customFormat="false" ht="15" hidden="false" customHeight="false" outlineLevel="0" collapsed="false">
      <c r="A16" s="3" t="s">
        <v>13</v>
      </c>
    </row>
    <row r="17" customFormat="false" ht="43.5" hidden="false" customHeight="true" outlineLevel="0" collapsed="false">
      <c r="A17" s="7" t="s">
        <v>14</v>
      </c>
      <c r="B17" s="7"/>
      <c r="C17" s="7"/>
      <c r="D17" s="7"/>
      <c r="E17" s="7"/>
      <c r="F17" s="7"/>
    </row>
    <row r="18" customFormat="false" ht="43.5" hidden="false" customHeight="true" outlineLevel="0" collapsed="false">
      <c r="A18" s="7" t="s">
        <v>15</v>
      </c>
      <c r="B18" s="7"/>
      <c r="C18" s="7"/>
      <c r="D18" s="7"/>
      <c r="E18" s="7"/>
      <c r="F18" s="7"/>
    </row>
    <row r="19" customFormat="false" ht="43.5" hidden="false" customHeight="true" outlineLevel="0" collapsed="false">
      <c r="A19" s="7" t="s">
        <v>16</v>
      </c>
      <c r="B19" s="7"/>
      <c r="C19" s="7"/>
      <c r="D19" s="7"/>
      <c r="E19" s="7"/>
      <c r="F19" s="7"/>
    </row>
    <row r="20" customFormat="false" ht="43.5" hidden="false" customHeight="true" outlineLevel="0" collapsed="false">
      <c r="A20" s="7" t="s">
        <v>17</v>
      </c>
      <c r="B20" s="7"/>
      <c r="C20" s="7"/>
      <c r="D20" s="7"/>
      <c r="E20" s="7"/>
      <c r="F20" s="7"/>
    </row>
    <row r="21" customFormat="false" ht="43.5" hidden="false" customHeight="true" outlineLevel="0" collapsed="false">
      <c r="A21" s="7" t="s">
        <v>18</v>
      </c>
      <c r="B21" s="7"/>
      <c r="C21" s="7"/>
      <c r="D21" s="7"/>
      <c r="E21" s="7"/>
      <c r="F21" s="7"/>
    </row>
    <row r="22" customFormat="false" ht="43.5" hidden="false" customHeight="true" outlineLevel="0" collapsed="false">
      <c r="A22" s="7" t="s">
        <v>19</v>
      </c>
      <c r="B22" s="7"/>
      <c r="C22" s="7"/>
      <c r="D22" s="7"/>
      <c r="E22" s="7"/>
      <c r="F22" s="7"/>
    </row>
    <row r="23" customFormat="false" ht="43.5" hidden="false" customHeight="true" outlineLevel="0" collapsed="false">
      <c r="A23" s="7" t="s">
        <v>20</v>
      </c>
      <c r="B23" s="7"/>
      <c r="C23" s="7"/>
      <c r="D23" s="7"/>
      <c r="E23" s="7"/>
      <c r="F23" s="7"/>
    </row>
    <row r="24" customFormat="false" ht="43.5" hidden="false" customHeight="true" outlineLevel="0" collapsed="false">
      <c r="A24" s="7" t="s">
        <v>21</v>
      </c>
      <c r="B24" s="7"/>
      <c r="C24" s="7"/>
      <c r="D24" s="7"/>
      <c r="E24" s="7"/>
      <c r="F24" s="7"/>
    </row>
    <row r="25" customFormat="false" ht="43.5" hidden="false" customHeight="true" outlineLevel="0" collapsed="false">
      <c r="A25" s="7" t="s">
        <v>22</v>
      </c>
      <c r="B25" s="7"/>
      <c r="C25" s="7"/>
      <c r="D25" s="7"/>
      <c r="E25" s="7"/>
      <c r="F25" s="7"/>
    </row>
    <row r="27" customFormat="false" ht="15" hidden="false" customHeight="false" outlineLevel="0" collapsed="false">
      <c r="A27" s="3" t="s">
        <v>23</v>
      </c>
    </row>
    <row r="28" customFormat="false" ht="30" hidden="false" customHeight="true" outlineLevel="0" collapsed="false">
      <c r="A28" s="7" t="s">
        <v>24</v>
      </c>
      <c r="B28" s="7"/>
      <c r="C28" s="7"/>
      <c r="D28" s="7"/>
      <c r="E28" s="7"/>
      <c r="F28" s="7"/>
    </row>
    <row r="29" customFormat="false" ht="30" hidden="false" customHeight="true" outlineLevel="0" collapsed="false">
      <c r="A29" s="7" t="s">
        <v>25</v>
      </c>
      <c r="B29" s="7"/>
      <c r="C29" s="7"/>
      <c r="D29" s="7"/>
      <c r="E29" s="7"/>
      <c r="F29" s="7"/>
    </row>
    <row r="30" customFormat="false" ht="30" hidden="false" customHeight="true" outlineLevel="0" collapsed="false">
      <c r="A30" s="7" t="s">
        <v>26</v>
      </c>
      <c r="B30" s="7"/>
      <c r="C30" s="7"/>
      <c r="D30" s="7"/>
      <c r="E30" s="7"/>
      <c r="F30" s="7"/>
    </row>
    <row r="31" customFormat="false" ht="30" hidden="false" customHeight="true" outlineLevel="0" collapsed="false">
      <c r="A31" s="7" t="s">
        <v>27</v>
      </c>
      <c r="B31" s="7"/>
      <c r="C31" s="7"/>
      <c r="D31" s="7"/>
      <c r="E31" s="7"/>
      <c r="F31" s="7"/>
    </row>
    <row r="32" customFormat="false" ht="30" hidden="false" customHeight="true" outlineLevel="0" collapsed="false">
      <c r="A32" s="7" t="s">
        <v>28</v>
      </c>
      <c r="B32" s="7"/>
      <c r="C32" s="7"/>
      <c r="D32" s="7"/>
      <c r="E32" s="7"/>
      <c r="F32" s="7"/>
    </row>
    <row r="33" customFormat="false" ht="30" hidden="false" customHeight="true" outlineLevel="0" collapsed="false">
      <c r="A33" s="7" t="s">
        <v>29</v>
      </c>
      <c r="B33" s="7"/>
      <c r="C33" s="7"/>
      <c r="D33" s="7"/>
      <c r="E33" s="7"/>
      <c r="F33" s="7"/>
    </row>
    <row r="35" customFormat="false" ht="15" hidden="false" customHeight="false" outlineLevel="0" collapsed="false">
      <c r="A35" s="3" t="s">
        <v>30</v>
      </c>
    </row>
    <row r="36" customFormat="false" ht="31.5" hidden="false" customHeight="true" outlineLevel="0" collapsed="false">
      <c r="A36" s="7" t="s">
        <v>31</v>
      </c>
      <c r="B36" s="7"/>
      <c r="C36" s="7"/>
      <c r="D36" s="7"/>
      <c r="E36" s="7"/>
      <c r="F36" s="7"/>
    </row>
    <row r="37" customFormat="false" ht="31.5" hidden="false" customHeight="true" outlineLevel="0" collapsed="false">
      <c r="A37" s="7" t="s">
        <v>32</v>
      </c>
      <c r="B37" s="7"/>
      <c r="C37" s="7"/>
      <c r="D37" s="7"/>
      <c r="E37" s="7"/>
      <c r="F37" s="7"/>
    </row>
    <row r="38" customFormat="false" ht="31.5" hidden="false" customHeight="true" outlineLevel="0" collapsed="false">
      <c r="A38" s="7" t="s">
        <v>33</v>
      </c>
      <c r="B38" s="7"/>
      <c r="C38" s="7"/>
      <c r="D38" s="7"/>
      <c r="E38" s="7"/>
      <c r="F38" s="7"/>
    </row>
    <row r="39" customFormat="false" ht="31.5" hidden="false" customHeight="true" outlineLevel="0" collapsed="false">
      <c r="A39" s="7" t="s">
        <v>34</v>
      </c>
      <c r="B39" s="7"/>
      <c r="C39" s="7"/>
      <c r="D39" s="7"/>
      <c r="E39" s="7"/>
      <c r="F39" s="7"/>
    </row>
    <row r="40" customFormat="false" ht="31.5" hidden="false" customHeight="true" outlineLevel="0" collapsed="false">
      <c r="A40" s="7" t="s">
        <v>35</v>
      </c>
      <c r="B40" s="7"/>
      <c r="C40" s="7"/>
      <c r="D40" s="7"/>
      <c r="E40" s="7"/>
      <c r="F40" s="7"/>
    </row>
  </sheetData>
  <mergeCells count="20">
    <mergeCell ref="A17:F17"/>
    <mergeCell ref="A18:F18"/>
    <mergeCell ref="A19:F19"/>
    <mergeCell ref="A20:F20"/>
    <mergeCell ref="A21:F21"/>
    <mergeCell ref="A22:F22"/>
    <mergeCell ref="A23:F23"/>
    <mergeCell ref="A24:F24"/>
    <mergeCell ref="A25:F25"/>
    <mergeCell ref="A28:F28"/>
    <mergeCell ref="A29:F29"/>
    <mergeCell ref="A30:F30"/>
    <mergeCell ref="A31:F31"/>
    <mergeCell ref="A32:F32"/>
    <mergeCell ref="A33:F33"/>
    <mergeCell ref="A36:F36"/>
    <mergeCell ref="A37:F37"/>
    <mergeCell ref="A38:F38"/>
    <mergeCell ref="A39:F39"/>
    <mergeCell ref="A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4"/>
    <col collapsed="false" customWidth="true" hidden="false" outlineLevel="0" max="4" min="4" style="0" width="9"/>
    <col collapsed="false" customWidth="true" hidden="false" outlineLevel="0" max="5" min="5" style="0" width="36"/>
    <col collapsed="false" customWidth="true" hidden="false" outlineLevel="0" max="6" min="6" style="0" width="34"/>
    <col collapsed="false" customWidth="true" hidden="false" outlineLevel="0" max="8" min="7" style="0" width="9"/>
    <col collapsed="false" customWidth="true" hidden="false" outlineLevel="0" max="10" min="9" style="0" width="10"/>
    <col collapsed="false" customWidth="true" hidden="false" outlineLevel="0" max="11" min="11" style="0" width="8"/>
    <col collapsed="false" customWidth="true" hidden="false" outlineLevel="0" max="12" min="12" style="0" width="10"/>
    <col collapsed="false" customWidth="true" hidden="false" outlineLevel="0" max="13" min="13" style="0" width="9"/>
    <col collapsed="false" customWidth="true" hidden="false" outlineLevel="0" max="14" min="14" style="0" width="48"/>
    <col collapsed="false" customWidth="true" hidden="false" outlineLevel="0" max="15" min="15" style="0" width="7"/>
    <col collapsed="false" customWidth="true" hidden="false" outlineLevel="0" max="16" min="16" style="0" width="40"/>
    <col collapsed="false" customWidth="true" hidden="false" outlineLevel="0" max="17" min="17" style="0" width="11"/>
    <col collapsed="false" customWidth="true" hidden="false" outlineLevel="0" max="18" min="18" style="0" width="70"/>
    <col collapsed="false" customWidth="true" hidden="false" outlineLevel="0" max="19" min="19" style="0" width="14"/>
    <col collapsed="false" customWidth="true" hidden="false" outlineLevel="0" max="20" min="20" style="0" width="70"/>
  </cols>
  <sheetData>
    <row r="1" customFormat="false" ht="31.5" hidden="false" customHeight="true" outlineLevel="0" collapsed="false">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row>
    <row r="2" customFormat="false" ht="35.05" hidden="false" customHeight="false" outlineLevel="0" collapsed="false">
      <c r="A2" s="9" t="n">
        <v>1</v>
      </c>
      <c r="B2" s="9" t="s">
        <v>56</v>
      </c>
      <c r="C2" s="10" t="s">
        <v>57</v>
      </c>
      <c r="D2" s="9" t="s">
        <v>58</v>
      </c>
      <c r="E2" s="11" t="s">
        <v>59</v>
      </c>
      <c r="F2" s="11" t="s">
        <v>60</v>
      </c>
      <c r="G2" s="12" t="n">
        <v>2400</v>
      </c>
      <c r="H2" s="9" t="n">
        <v>12</v>
      </c>
      <c r="I2" s="9" t="n">
        <f aca="false">COUNTIF(Keywords!$K$2:$K$140,E2)</f>
        <v>16</v>
      </c>
      <c r="J2" s="12" t="n">
        <f aca="false">SUMIFS(Keywords!$D$2:$D$140,Keywords!$K$2:$K$140,E2,Keywords!$H$2:$H$140,"&lt;&gt;P4 - Optional")</f>
        <v>7340</v>
      </c>
      <c r="K2" s="9" t="n">
        <f aca="false">IFERROR(ROUND(AVERAGEIFS(Keywords!$E$2:$E$140,Keywords!$K$2:$K$140,E2,Keywords!$H$2:$H$140,"&lt;&gt;P4 - Optional"),1),"n/a")</f>
        <v>11.6</v>
      </c>
      <c r="L2" s="13" t="n">
        <f aca="false">IFERROR(ROUND(AVERAGEIFS(Keywords!$F$2:$F$140,Keywords!$K$2:$K$140,E2,Keywords!$H$2:$H$140,"&lt;&gt;P4 - Optional"),2),"n/a")</f>
        <v>1.98</v>
      </c>
      <c r="M2" s="14" t="s">
        <v>61</v>
      </c>
      <c r="N2" s="11" t="s">
        <v>62</v>
      </c>
      <c r="O2" s="9" t="n">
        <f aca="false">LEN(N2)</f>
        <v>53</v>
      </c>
      <c r="P2" s="11" t="s">
        <v>63</v>
      </c>
      <c r="Q2" s="9" t="s">
        <v>64</v>
      </c>
      <c r="R2" s="11" t="s">
        <v>65</v>
      </c>
      <c r="S2" s="9" t="s">
        <v>66</v>
      </c>
      <c r="T2" s="11" t="s">
        <v>67</v>
      </c>
    </row>
    <row r="3" customFormat="false" ht="46.25" hidden="false" customHeight="false" outlineLevel="0" collapsed="false">
      <c r="A3" s="9" t="n">
        <v>2</v>
      </c>
      <c r="B3" s="9" t="s">
        <v>56</v>
      </c>
      <c r="C3" s="10" t="s">
        <v>57</v>
      </c>
      <c r="D3" s="9" t="s">
        <v>68</v>
      </c>
      <c r="E3" s="11" t="s">
        <v>69</v>
      </c>
      <c r="F3" s="11" t="s">
        <v>70</v>
      </c>
      <c r="G3" s="12" t="n">
        <v>720</v>
      </c>
      <c r="H3" s="9" t="n">
        <v>14</v>
      </c>
      <c r="I3" s="9" t="n">
        <f aca="false">COUNTIF(Keywords!$K$2:$K$140,E3)</f>
        <v>17</v>
      </c>
      <c r="J3" s="12" t="n">
        <f aca="false">SUMIFS(Keywords!$D$2:$D$140,Keywords!$K$2:$K$140,E3,Keywords!$H$2:$H$140,"&lt;&gt;P4 - Optional")</f>
        <v>4170</v>
      </c>
      <c r="K3" s="9" t="n">
        <f aca="false">IFERROR(ROUND(AVERAGEIFS(Keywords!$E$2:$E$140,Keywords!$K$2:$K$140,E3,Keywords!$H$2:$H$140,"&lt;&gt;P4 - Optional"),1),"n/a")</f>
        <v>12.3</v>
      </c>
      <c r="L3" s="13" t="n">
        <f aca="false">IFERROR(ROUND(AVERAGEIFS(Keywords!$F$2:$F$140,Keywords!$K$2:$K$140,E3,Keywords!$H$2:$H$140,"&lt;&gt;P4 - Optional"),2),"n/a")</f>
        <v>7.91</v>
      </c>
      <c r="M3" s="14" t="s">
        <v>61</v>
      </c>
      <c r="N3" s="11" t="s">
        <v>71</v>
      </c>
      <c r="O3" s="9" t="n">
        <f aca="false">LEN(N3)</f>
        <v>50</v>
      </c>
      <c r="P3" s="11" t="s">
        <v>72</v>
      </c>
      <c r="Q3" s="9" t="s">
        <v>73</v>
      </c>
      <c r="R3" s="11" t="s">
        <v>74</v>
      </c>
      <c r="S3" s="9" t="s">
        <v>66</v>
      </c>
      <c r="T3" s="11" t="s">
        <v>75</v>
      </c>
    </row>
    <row r="4" customFormat="false" ht="35.05" hidden="false" customHeight="false" outlineLevel="0" collapsed="false">
      <c r="A4" s="9" t="n">
        <v>3</v>
      </c>
      <c r="B4" s="9" t="s">
        <v>56</v>
      </c>
      <c r="C4" s="10" t="s">
        <v>57</v>
      </c>
      <c r="D4" s="9" t="s">
        <v>68</v>
      </c>
      <c r="E4" s="11" t="s">
        <v>76</v>
      </c>
      <c r="F4" s="11" t="s">
        <v>77</v>
      </c>
      <c r="G4" s="12" t="n">
        <v>720</v>
      </c>
      <c r="H4" s="9" t="n">
        <v>13</v>
      </c>
      <c r="I4" s="9" t="n">
        <f aca="false">COUNTIF(Keywords!$K$2:$K$140,E4)</f>
        <v>19</v>
      </c>
      <c r="J4" s="12" t="n">
        <f aca="false">SUMIFS(Keywords!$D$2:$D$140,Keywords!$K$2:$K$140,E4,Keywords!$H$2:$H$140,"&lt;&gt;P4 - Optional")</f>
        <v>4160</v>
      </c>
      <c r="K4" s="9" t="n">
        <f aca="false">IFERROR(ROUND(AVERAGEIFS(Keywords!$E$2:$E$140,Keywords!$K$2:$K$140,E4,Keywords!$H$2:$H$140,"&lt;&gt;P4 - Optional"),1),"n/a")</f>
        <v>13.4</v>
      </c>
      <c r="L4" s="13" t="n">
        <f aca="false">IFERROR(ROUND(AVERAGEIFS(Keywords!$F$2:$F$140,Keywords!$K$2:$K$140,E4,Keywords!$H$2:$H$140,"&lt;&gt;P4 - Optional"),2),"n/a")</f>
        <v>2.51</v>
      </c>
      <c r="M4" s="14" t="s">
        <v>61</v>
      </c>
      <c r="N4" s="11" t="s">
        <v>78</v>
      </c>
      <c r="O4" s="9" t="n">
        <f aca="false">LEN(N4)</f>
        <v>48</v>
      </c>
      <c r="P4" s="11" t="s">
        <v>79</v>
      </c>
      <c r="Q4" s="9" t="s">
        <v>80</v>
      </c>
      <c r="R4" s="11" t="s">
        <v>81</v>
      </c>
      <c r="S4" s="9" t="s">
        <v>66</v>
      </c>
      <c r="T4" s="11" t="s">
        <v>82</v>
      </c>
    </row>
    <row r="5" customFormat="false" ht="46.25" hidden="false" customHeight="false" outlineLevel="0" collapsed="false">
      <c r="A5" s="9" t="n">
        <v>4</v>
      </c>
      <c r="B5" s="9" t="s">
        <v>56</v>
      </c>
      <c r="C5" s="15" t="s">
        <v>83</v>
      </c>
      <c r="D5" s="9" t="s">
        <v>84</v>
      </c>
      <c r="E5" s="11" t="s">
        <v>85</v>
      </c>
      <c r="F5" s="11" t="s">
        <v>86</v>
      </c>
      <c r="G5" s="12" t="n">
        <v>1000</v>
      </c>
      <c r="H5" s="9" t="n">
        <v>12</v>
      </c>
      <c r="I5" s="9" t="n">
        <f aca="false">COUNTIF(Keywords!$K$2:$K$140,E5)</f>
        <v>11</v>
      </c>
      <c r="J5" s="12" t="n">
        <f aca="false">SUMIFS(Keywords!$D$2:$D$140,Keywords!$K$2:$K$140,E5,Keywords!$H$2:$H$140,"&lt;&gt;P4 - Optional")</f>
        <v>3640</v>
      </c>
      <c r="K5" s="9" t="n">
        <f aca="false">IFERROR(ROUND(AVERAGEIFS(Keywords!$E$2:$E$140,Keywords!$K$2:$K$140,E5,Keywords!$H$2:$H$140,"&lt;&gt;P4 - Optional"),1),"n/a")</f>
        <v>13.2</v>
      </c>
      <c r="L5" s="13" t="n">
        <f aca="false">IFERROR(ROUND(AVERAGEIFS(Keywords!$F$2:$F$140,Keywords!$K$2:$K$140,E5,Keywords!$H$2:$H$140,"&lt;&gt;P4 - Optional"),2),"n/a")</f>
        <v>1.54</v>
      </c>
      <c r="M5" s="14" t="s">
        <v>61</v>
      </c>
      <c r="N5" s="11" t="s">
        <v>87</v>
      </c>
      <c r="O5" s="9" t="n">
        <f aca="false">LEN(N5)</f>
        <v>54</v>
      </c>
      <c r="P5" s="11" t="s">
        <v>88</v>
      </c>
      <c r="Q5" s="9" t="s">
        <v>89</v>
      </c>
      <c r="R5" s="11" t="s">
        <v>90</v>
      </c>
      <c r="S5" s="9" t="s">
        <v>91</v>
      </c>
      <c r="T5" s="11" t="s">
        <v>92</v>
      </c>
    </row>
    <row r="6" customFormat="false" ht="23.85" hidden="false" customHeight="false" outlineLevel="0" collapsed="false">
      <c r="A6" s="9" t="n">
        <v>5</v>
      </c>
      <c r="B6" s="9" t="s">
        <v>56</v>
      </c>
      <c r="C6" s="10" t="s">
        <v>57</v>
      </c>
      <c r="D6" s="9" t="s">
        <v>68</v>
      </c>
      <c r="E6" s="11" t="s">
        <v>93</v>
      </c>
      <c r="F6" s="11" t="s">
        <v>94</v>
      </c>
      <c r="G6" s="12" t="n">
        <v>210</v>
      </c>
      <c r="H6" s="9" t="n">
        <v>5</v>
      </c>
      <c r="I6" s="9" t="n">
        <f aca="false">COUNTIF(Keywords!$K$2:$K$140,E6)</f>
        <v>4</v>
      </c>
      <c r="J6" s="12" t="n">
        <f aca="false">SUMIFS(Keywords!$D$2:$D$140,Keywords!$K$2:$K$140,E6,Keywords!$H$2:$H$140,"&lt;&gt;P4 - Optional")</f>
        <v>380</v>
      </c>
      <c r="K6" s="9" t="n">
        <f aca="false">IFERROR(ROUND(AVERAGEIFS(Keywords!$E$2:$E$140,Keywords!$K$2:$K$140,E6,Keywords!$H$2:$H$140,"&lt;&gt;P4 - Optional"),1),"n/a")</f>
        <v>11.5</v>
      </c>
      <c r="L6" s="13" t="n">
        <f aca="false">IFERROR(ROUND(AVERAGEIFS(Keywords!$F$2:$F$140,Keywords!$K$2:$K$140,E6,Keywords!$H$2:$H$140,"&lt;&gt;P4 - Optional"),2),"n/a")</f>
        <v>1.85</v>
      </c>
      <c r="M6" s="14" t="s">
        <v>61</v>
      </c>
      <c r="N6" s="11" t="s">
        <v>95</v>
      </c>
      <c r="O6" s="9" t="n">
        <f aca="false">LEN(N6)</f>
        <v>49</v>
      </c>
      <c r="P6" s="11" t="s">
        <v>96</v>
      </c>
      <c r="Q6" s="9" t="s">
        <v>89</v>
      </c>
      <c r="R6" s="11" t="s">
        <v>97</v>
      </c>
      <c r="S6" s="9" t="s">
        <v>66</v>
      </c>
      <c r="T6" s="11" t="s">
        <v>98</v>
      </c>
    </row>
    <row r="7" customFormat="false" ht="35.05" hidden="false" customHeight="false" outlineLevel="0" collapsed="false">
      <c r="A7" s="9" t="n">
        <v>6</v>
      </c>
      <c r="B7" s="9" t="s">
        <v>99</v>
      </c>
      <c r="C7" s="15" t="s">
        <v>83</v>
      </c>
      <c r="D7" s="9" t="s">
        <v>68</v>
      </c>
      <c r="E7" s="11" t="s">
        <v>100</v>
      </c>
      <c r="F7" s="11" t="s">
        <v>101</v>
      </c>
      <c r="G7" s="12" t="n">
        <v>320</v>
      </c>
      <c r="H7" s="9" t="n">
        <v>6</v>
      </c>
      <c r="I7" s="9" t="n">
        <f aca="false">COUNTIF(Keywords!$K$2:$K$140,E7)</f>
        <v>8</v>
      </c>
      <c r="J7" s="12" t="n">
        <f aca="false">SUMIFS(Keywords!$D$2:$D$140,Keywords!$K$2:$K$140,E7,Keywords!$H$2:$H$140,"&lt;&gt;P4 - Optional")</f>
        <v>1120</v>
      </c>
      <c r="K7" s="9" t="n">
        <f aca="false">IFERROR(ROUND(AVERAGEIFS(Keywords!$E$2:$E$140,Keywords!$K$2:$K$140,E7,Keywords!$H$2:$H$140,"&lt;&gt;P4 - Optional"),1),"n/a")</f>
        <v>5.6</v>
      </c>
      <c r="L7" s="13" t="n">
        <f aca="false">IFERROR(ROUND(AVERAGEIFS(Keywords!$F$2:$F$140,Keywords!$K$2:$K$140,E7,Keywords!$H$2:$H$140,"&lt;&gt;P4 - Optional"),2),"n/a")</f>
        <v>3.23</v>
      </c>
      <c r="M7" s="14" t="s">
        <v>61</v>
      </c>
      <c r="N7" s="11" t="s">
        <v>102</v>
      </c>
      <c r="O7" s="9" t="n">
        <f aca="false">LEN(N7)</f>
        <v>45</v>
      </c>
      <c r="P7" s="11" t="s">
        <v>103</v>
      </c>
      <c r="Q7" s="9" t="s">
        <v>80</v>
      </c>
      <c r="R7" s="11" t="s">
        <v>104</v>
      </c>
      <c r="S7" s="9" t="s">
        <v>66</v>
      </c>
      <c r="T7" s="11" t="s">
        <v>105</v>
      </c>
    </row>
    <row r="8" customFormat="false" ht="23.85" hidden="false" customHeight="false" outlineLevel="0" collapsed="false">
      <c r="A8" s="9" t="n">
        <v>7</v>
      </c>
      <c r="B8" s="9" t="s">
        <v>99</v>
      </c>
      <c r="C8" s="15" t="s">
        <v>83</v>
      </c>
      <c r="D8" s="9" t="s">
        <v>84</v>
      </c>
      <c r="E8" s="11" t="s">
        <v>106</v>
      </c>
      <c r="F8" s="11" t="s">
        <v>107</v>
      </c>
      <c r="G8" s="12" t="n">
        <v>590</v>
      </c>
      <c r="H8" s="9" t="n">
        <v>13</v>
      </c>
      <c r="I8" s="9" t="n">
        <f aca="false">COUNTIF(Keywords!$K$2:$K$140,E8)</f>
        <v>3</v>
      </c>
      <c r="J8" s="12" t="n">
        <f aca="false">SUMIFS(Keywords!$D$2:$D$140,Keywords!$K$2:$K$140,E8,Keywords!$H$2:$H$140,"&lt;&gt;P4 - Optional")</f>
        <v>840</v>
      </c>
      <c r="K8" s="9" t="n">
        <f aca="false">IFERROR(ROUND(AVERAGEIFS(Keywords!$E$2:$E$140,Keywords!$K$2:$K$140,E8,Keywords!$H$2:$H$140,"&lt;&gt;P4 - Optional"),1),"n/a")</f>
        <v>11.3</v>
      </c>
      <c r="L8" s="13" t="n">
        <f aca="false">IFERROR(ROUND(AVERAGEIFS(Keywords!$F$2:$F$140,Keywords!$K$2:$K$140,E8,Keywords!$H$2:$H$140,"&lt;&gt;P4 - Optional"),2),"n/a")</f>
        <v>1.97</v>
      </c>
      <c r="M8" s="14" t="s">
        <v>61</v>
      </c>
      <c r="N8" s="11" t="s">
        <v>108</v>
      </c>
      <c r="O8" s="9" t="n">
        <f aca="false">LEN(N8)</f>
        <v>48</v>
      </c>
      <c r="P8" s="11" t="s">
        <v>109</v>
      </c>
      <c r="Q8" s="9" t="s">
        <v>110</v>
      </c>
      <c r="R8" s="11" t="s">
        <v>111</v>
      </c>
      <c r="S8" s="9" t="s">
        <v>66</v>
      </c>
      <c r="T8" s="11" t="s">
        <v>112</v>
      </c>
    </row>
    <row r="9" customFormat="false" ht="23.85" hidden="false" customHeight="false" outlineLevel="0" collapsed="false">
      <c r="A9" s="9" t="n">
        <v>8</v>
      </c>
      <c r="B9" s="9" t="s">
        <v>99</v>
      </c>
      <c r="C9" s="10" t="s">
        <v>57</v>
      </c>
      <c r="D9" s="9" t="s">
        <v>68</v>
      </c>
      <c r="E9" s="11" t="s">
        <v>113</v>
      </c>
      <c r="F9" s="11" t="s">
        <v>114</v>
      </c>
      <c r="G9" s="12" t="n">
        <v>480</v>
      </c>
      <c r="H9" s="9" t="n">
        <v>7</v>
      </c>
      <c r="I9" s="9" t="n">
        <f aca="false">COUNTIF(Keywords!$K$2:$K$140,E9)</f>
        <v>3</v>
      </c>
      <c r="J9" s="12" t="n">
        <f aca="false">SUMIFS(Keywords!$D$2:$D$140,Keywords!$K$2:$K$140,E9,Keywords!$H$2:$H$140,"&lt;&gt;P4 - Optional")</f>
        <v>660</v>
      </c>
      <c r="K9" s="9" t="n">
        <f aca="false">IFERROR(ROUND(AVERAGEIFS(Keywords!$E$2:$E$140,Keywords!$K$2:$K$140,E9,Keywords!$H$2:$H$140,"&lt;&gt;P4 - Optional"),1),"n/a")</f>
        <v>6.7</v>
      </c>
      <c r="L9" s="13" t="n">
        <f aca="false">IFERROR(ROUND(AVERAGEIFS(Keywords!$F$2:$F$140,Keywords!$K$2:$K$140,E9,Keywords!$H$2:$H$140,"&lt;&gt;P4 - Optional"),2),"n/a")</f>
        <v>1.45</v>
      </c>
      <c r="M9" s="14" t="s">
        <v>61</v>
      </c>
      <c r="N9" s="11" t="s">
        <v>115</v>
      </c>
      <c r="O9" s="9" t="n">
        <f aca="false">LEN(N9)</f>
        <v>51</v>
      </c>
      <c r="P9" s="11" t="s">
        <v>116</v>
      </c>
      <c r="Q9" s="9" t="s">
        <v>110</v>
      </c>
      <c r="R9" s="11" t="s">
        <v>117</v>
      </c>
      <c r="S9" s="9" t="s">
        <v>66</v>
      </c>
      <c r="T9" s="11" t="s">
        <v>118</v>
      </c>
    </row>
    <row r="10" customFormat="false" ht="23.85" hidden="false" customHeight="false" outlineLevel="0" collapsed="false">
      <c r="A10" s="9" t="n">
        <v>9</v>
      </c>
      <c r="B10" s="9" t="s">
        <v>99</v>
      </c>
      <c r="C10" s="15" t="s">
        <v>83</v>
      </c>
      <c r="D10" s="9" t="s">
        <v>68</v>
      </c>
      <c r="E10" s="11" t="s">
        <v>119</v>
      </c>
      <c r="F10" s="11" t="s">
        <v>120</v>
      </c>
      <c r="G10" s="12" t="n">
        <v>170</v>
      </c>
      <c r="H10" s="9" t="n">
        <v>20</v>
      </c>
      <c r="I10" s="9" t="n">
        <f aca="false">COUNTIF(Keywords!$K$2:$K$140,E10)</f>
        <v>5</v>
      </c>
      <c r="J10" s="12" t="n">
        <f aca="false">SUMIFS(Keywords!$D$2:$D$140,Keywords!$K$2:$K$140,E10,Keywords!$H$2:$H$140,"&lt;&gt;P4 - Optional")</f>
        <v>520</v>
      </c>
      <c r="K10" s="9" t="n">
        <f aca="false">IFERROR(ROUND(AVERAGEIFS(Keywords!$E$2:$E$140,Keywords!$K$2:$K$140,E10,Keywords!$H$2:$H$140,"&lt;&gt;P4 - Optional"),1),"n/a")</f>
        <v>10.8</v>
      </c>
      <c r="L10" s="13" t="n">
        <f aca="false">IFERROR(ROUND(AVERAGEIFS(Keywords!$F$2:$F$140,Keywords!$K$2:$K$140,E10,Keywords!$H$2:$H$140,"&lt;&gt;P4 - Optional"),2),"n/a")</f>
        <v>8.78</v>
      </c>
      <c r="M10" s="14" t="s">
        <v>61</v>
      </c>
      <c r="N10" s="11" t="s">
        <v>121</v>
      </c>
      <c r="O10" s="9" t="n">
        <f aca="false">LEN(N10)</f>
        <v>50</v>
      </c>
      <c r="P10" s="11" t="s">
        <v>122</v>
      </c>
      <c r="Q10" s="9" t="s">
        <v>80</v>
      </c>
      <c r="R10" s="11" t="s">
        <v>123</v>
      </c>
      <c r="S10" s="9" t="s">
        <v>66</v>
      </c>
      <c r="T10" s="11" t="s">
        <v>124</v>
      </c>
    </row>
    <row r="11" customFormat="false" ht="23.85" hidden="false" customHeight="false" outlineLevel="0" collapsed="false">
      <c r="A11" s="9" t="n">
        <v>10</v>
      </c>
      <c r="B11" s="9" t="s">
        <v>99</v>
      </c>
      <c r="C11" s="10" t="s">
        <v>57</v>
      </c>
      <c r="D11" s="9" t="s">
        <v>68</v>
      </c>
      <c r="E11" s="11" t="s">
        <v>125</v>
      </c>
      <c r="F11" s="11" t="s">
        <v>126</v>
      </c>
      <c r="G11" s="12" t="n">
        <v>140</v>
      </c>
      <c r="H11" s="9" t="n">
        <v>7</v>
      </c>
      <c r="I11" s="9" t="n">
        <f aca="false">COUNTIF(Keywords!$K$2:$K$140,E11)</f>
        <v>1</v>
      </c>
      <c r="J11" s="12" t="n">
        <f aca="false">SUMIFS(Keywords!$D$2:$D$140,Keywords!$K$2:$K$140,E11,Keywords!$H$2:$H$140,"&lt;&gt;P4 - Optional")</f>
        <v>140</v>
      </c>
      <c r="K11" s="9" t="n">
        <f aca="false">IFERROR(ROUND(AVERAGEIFS(Keywords!$E$2:$E$140,Keywords!$K$2:$K$140,E11,Keywords!$H$2:$H$140,"&lt;&gt;P4 - Optional"),1),"n/a")</f>
        <v>7</v>
      </c>
      <c r="L11" s="13" t="n">
        <f aca="false">IFERROR(ROUND(AVERAGEIFS(Keywords!$F$2:$F$140,Keywords!$K$2:$K$140,E11,Keywords!$H$2:$H$140,"&lt;&gt;P4 - Optional"),2),"n/a")</f>
        <v>1.53</v>
      </c>
      <c r="M11" s="14" t="s">
        <v>61</v>
      </c>
      <c r="N11" s="11" t="s">
        <v>127</v>
      </c>
      <c r="O11" s="9" t="n">
        <f aca="false">LEN(N11)</f>
        <v>51</v>
      </c>
      <c r="P11" s="11" t="s">
        <v>128</v>
      </c>
      <c r="Q11" s="9" t="s">
        <v>110</v>
      </c>
      <c r="R11" s="11" t="s">
        <v>129</v>
      </c>
      <c r="S11" s="9" t="s">
        <v>66</v>
      </c>
      <c r="T11" s="11" t="s">
        <v>130</v>
      </c>
    </row>
    <row r="12" customFormat="false" ht="35.05" hidden="false" customHeight="false" outlineLevel="0" collapsed="false">
      <c r="A12" s="9" t="n">
        <v>11</v>
      </c>
      <c r="B12" s="9" t="s">
        <v>99</v>
      </c>
      <c r="C12" s="15" t="s">
        <v>83</v>
      </c>
      <c r="D12" s="9" t="s">
        <v>131</v>
      </c>
      <c r="E12" s="11" t="s">
        <v>132</v>
      </c>
      <c r="F12" s="11" t="s">
        <v>133</v>
      </c>
      <c r="G12" s="12" t="n">
        <v>140</v>
      </c>
      <c r="H12" s="9" t="n">
        <v>7</v>
      </c>
      <c r="I12" s="9" t="n">
        <f aca="false">COUNTIF(Keywords!$K$2:$K$140,E12)</f>
        <v>3</v>
      </c>
      <c r="J12" s="12" t="n">
        <f aca="false">SUMIFS(Keywords!$D$2:$D$140,Keywords!$K$2:$K$140,E12,Keywords!$H$2:$H$140,"&lt;&gt;P4 - Optional")</f>
        <v>280</v>
      </c>
      <c r="K12" s="9" t="n">
        <f aca="false">IFERROR(ROUND(AVERAGEIFS(Keywords!$E$2:$E$140,Keywords!$K$2:$K$140,E12,Keywords!$H$2:$H$140,"&lt;&gt;P4 - Optional"),1),"n/a")</f>
        <v>6.7</v>
      </c>
      <c r="L12" s="13" t="n">
        <f aca="false">IFERROR(ROUND(AVERAGEIFS(Keywords!$F$2:$F$140,Keywords!$K$2:$K$140,E12,Keywords!$H$2:$H$140,"&lt;&gt;P4 - Optional"),2),"n/a")</f>
        <v>1.5</v>
      </c>
      <c r="M12" s="16" t="s">
        <v>134</v>
      </c>
      <c r="N12" s="11" t="s">
        <v>135</v>
      </c>
      <c r="O12" s="9" t="n">
        <f aca="false">LEN(N12)</f>
        <v>51</v>
      </c>
      <c r="P12" s="11" t="s">
        <v>136</v>
      </c>
      <c r="Q12" s="9" t="s">
        <v>137</v>
      </c>
      <c r="R12" s="11" t="s">
        <v>138</v>
      </c>
      <c r="S12" s="9" t="s">
        <v>91</v>
      </c>
      <c r="T12" s="11" t="s">
        <v>139</v>
      </c>
    </row>
    <row r="13" customFormat="false" ht="35.05" hidden="false" customHeight="false" outlineLevel="0" collapsed="false">
      <c r="A13" s="9" t="n">
        <v>12</v>
      </c>
      <c r="B13" s="9" t="s">
        <v>99</v>
      </c>
      <c r="C13" s="15" t="s">
        <v>83</v>
      </c>
      <c r="D13" s="9" t="s">
        <v>131</v>
      </c>
      <c r="E13" s="11" t="s">
        <v>140</v>
      </c>
      <c r="F13" s="11" t="s">
        <v>141</v>
      </c>
      <c r="G13" s="12" t="n">
        <v>170</v>
      </c>
      <c r="H13" s="9" t="n">
        <v>5</v>
      </c>
      <c r="I13" s="9" t="n">
        <f aca="false">COUNTIF(Keywords!$K$2:$K$140,E13)</f>
        <v>1</v>
      </c>
      <c r="J13" s="12" t="n">
        <f aca="false">SUMIFS(Keywords!$D$2:$D$140,Keywords!$K$2:$K$140,E13,Keywords!$H$2:$H$140,"&lt;&gt;P4 - Optional")</f>
        <v>170</v>
      </c>
      <c r="K13" s="9" t="n">
        <f aca="false">IFERROR(ROUND(AVERAGEIFS(Keywords!$E$2:$E$140,Keywords!$K$2:$K$140,E13,Keywords!$H$2:$H$140,"&lt;&gt;P4 - Optional"),1),"n/a")</f>
        <v>5</v>
      </c>
      <c r="L13" s="13" t="n">
        <f aca="false">IFERROR(ROUND(AVERAGEIFS(Keywords!$F$2:$F$140,Keywords!$K$2:$K$140,E13,Keywords!$H$2:$H$140,"&lt;&gt;P4 - Optional"),2),"n/a")</f>
        <v>0</v>
      </c>
      <c r="M13" s="16" t="s">
        <v>134</v>
      </c>
      <c r="N13" s="11" t="s">
        <v>142</v>
      </c>
      <c r="O13" s="9" t="n">
        <f aca="false">LEN(N13)</f>
        <v>54</v>
      </c>
      <c r="P13" s="11" t="s">
        <v>143</v>
      </c>
      <c r="Q13" s="9" t="s">
        <v>137</v>
      </c>
      <c r="R13" s="11" t="s">
        <v>129</v>
      </c>
      <c r="S13" s="9" t="s">
        <v>91</v>
      </c>
      <c r="T13" s="11" t="s">
        <v>139</v>
      </c>
    </row>
    <row r="14" customFormat="false" ht="35.05" hidden="false" customHeight="false" outlineLevel="0" collapsed="false">
      <c r="A14" s="9" t="n">
        <v>13</v>
      </c>
      <c r="B14" s="9" t="s">
        <v>99</v>
      </c>
      <c r="C14" s="15" t="s">
        <v>83</v>
      </c>
      <c r="D14" s="9" t="s">
        <v>131</v>
      </c>
      <c r="E14" s="11" t="s">
        <v>144</v>
      </c>
      <c r="F14" s="11" t="s">
        <v>145</v>
      </c>
      <c r="G14" s="12" t="n">
        <v>140</v>
      </c>
      <c r="H14" s="9" t="n">
        <v>5</v>
      </c>
      <c r="I14" s="9" t="n">
        <f aca="false">COUNTIF(Keywords!$K$2:$K$140,E14)</f>
        <v>1</v>
      </c>
      <c r="J14" s="12" t="n">
        <f aca="false">SUMIFS(Keywords!$D$2:$D$140,Keywords!$K$2:$K$140,E14,Keywords!$H$2:$H$140,"&lt;&gt;P4 - Optional")</f>
        <v>140</v>
      </c>
      <c r="K14" s="9" t="n">
        <f aca="false">IFERROR(ROUND(AVERAGEIFS(Keywords!$E$2:$E$140,Keywords!$K$2:$K$140,E14,Keywords!$H$2:$H$140,"&lt;&gt;P4 - Optional"),1),"n/a")</f>
        <v>5</v>
      </c>
      <c r="L14" s="13" t="n">
        <f aca="false">IFERROR(ROUND(AVERAGEIFS(Keywords!$F$2:$F$140,Keywords!$K$2:$K$140,E14,Keywords!$H$2:$H$140,"&lt;&gt;P4 - Optional"),2),"n/a")</f>
        <v>2.62</v>
      </c>
      <c r="M14" s="16" t="s">
        <v>134</v>
      </c>
      <c r="N14" s="11" t="s">
        <v>146</v>
      </c>
      <c r="O14" s="9" t="n">
        <f aca="false">LEN(N14)</f>
        <v>54</v>
      </c>
      <c r="P14" s="11" t="s">
        <v>147</v>
      </c>
      <c r="Q14" s="9" t="s">
        <v>137</v>
      </c>
      <c r="R14" s="11" t="s">
        <v>129</v>
      </c>
      <c r="S14" s="9" t="s">
        <v>91</v>
      </c>
      <c r="T14" s="11" t="s">
        <v>139</v>
      </c>
    </row>
    <row r="15" customFormat="false" ht="35.05" hidden="false" customHeight="false" outlineLevel="0" collapsed="false">
      <c r="A15" s="9" t="n">
        <v>14</v>
      </c>
      <c r="B15" s="9" t="s">
        <v>99</v>
      </c>
      <c r="C15" s="15" t="s">
        <v>83</v>
      </c>
      <c r="D15" s="9" t="s">
        <v>131</v>
      </c>
      <c r="E15" s="11" t="s">
        <v>148</v>
      </c>
      <c r="F15" s="11" t="s">
        <v>149</v>
      </c>
      <c r="G15" s="12" t="n">
        <v>70</v>
      </c>
      <c r="H15" s="9" t="n">
        <v>4</v>
      </c>
      <c r="I15" s="9" t="n">
        <f aca="false">COUNTIF(Keywords!$K$2:$K$140,E15)</f>
        <v>2</v>
      </c>
      <c r="J15" s="12" t="n">
        <f aca="false">SUMIFS(Keywords!$D$2:$D$140,Keywords!$K$2:$K$140,E15,Keywords!$H$2:$H$140,"&lt;&gt;P4 - Optional")</f>
        <v>140</v>
      </c>
      <c r="K15" s="9" t="n">
        <f aca="false">IFERROR(ROUND(AVERAGEIFS(Keywords!$E$2:$E$140,Keywords!$K$2:$K$140,E15,Keywords!$H$2:$H$140,"&lt;&gt;P4 - Optional"),1),"n/a")</f>
        <v>4</v>
      </c>
      <c r="L15" s="13" t="n">
        <f aca="false">IFERROR(ROUND(AVERAGEIFS(Keywords!$F$2:$F$140,Keywords!$K$2:$K$140,E15,Keywords!$H$2:$H$140,"&lt;&gt;P4 - Optional"),2),"n/a")</f>
        <v>1.73</v>
      </c>
      <c r="M15" s="16" t="s">
        <v>134</v>
      </c>
      <c r="N15" s="11" t="s">
        <v>150</v>
      </c>
      <c r="O15" s="9" t="n">
        <f aca="false">LEN(N15)</f>
        <v>55</v>
      </c>
      <c r="P15" s="11" t="s">
        <v>151</v>
      </c>
      <c r="Q15" s="9" t="s">
        <v>137</v>
      </c>
      <c r="R15" s="11" t="s">
        <v>152</v>
      </c>
      <c r="S15" s="9" t="s">
        <v>91</v>
      </c>
      <c r="T15" s="11" t="s">
        <v>139</v>
      </c>
    </row>
    <row r="16" customFormat="false" ht="23.85" hidden="false" customHeight="false" outlineLevel="0" collapsed="false">
      <c r="A16" s="9" t="n">
        <v>15</v>
      </c>
      <c r="B16" s="9" t="s">
        <v>99</v>
      </c>
      <c r="C16" s="15" t="s">
        <v>83</v>
      </c>
      <c r="D16" s="9" t="s">
        <v>131</v>
      </c>
      <c r="E16" s="11" t="s">
        <v>153</v>
      </c>
      <c r="F16" s="11" t="s">
        <v>154</v>
      </c>
      <c r="G16" s="12" t="n">
        <v>70</v>
      </c>
      <c r="H16" s="9" t="n">
        <v>4</v>
      </c>
      <c r="I16" s="9" t="n">
        <f aca="false">COUNTIF(Keywords!$K$2:$K$140,E16)</f>
        <v>1</v>
      </c>
      <c r="J16" s="12" t="n">
        <f aca="false">SUMIFS(Keywords!$D$2:$D$140,Keywords!$K$2:$K$140,E16,Keywords!$H$2:$H$140,"&lt;&gt;P4 - Optional")</f>
        <v>70</v>
      </c>
      <c r="K16" s="9" t="n">
        <f aca="false">IFERROR(ROUND(AVERAGEIFS(Keywords!$E$2:$E$140,Keywords!$K$2:$K$140,E16,Keywords!$H$2:$H$140,"&lt;&gt;P4 - Optional"),1),"n/a")</f>
        <v>4</v>
      </c>
      <c r="L16" s="13" t="n">
        <f aca="false">IFERROR(ROUND(AVERAGEIFS(Keywords!$F$2:$F$140,Keywords!$K$2:$K$140,E16,Keywords!$H$2:$H$140,"&lt;&gt;P4 - Optional"),2),"n/a")</f>
        <v>0</v>
      </c>
      <c r="M16" s="16" t="s">
        <v>134</v>
      </c>
      <c r="N16" s="11" t="s">
        <v>155</v>
      </c>
      <c r="O16" s="9" t="n">
        <f aca="false">LEN(N16)</f>
        <v>52</v>
      </c>
      <c r="P16" s="11" t="s">
        <v>156</v>
      </c>
      <c r="Q16" s="9" t="s">
        <v>137</v>
      </c>
      <c r="R16" s="11" t="s">
        <v>129</v>
      </c>
      <c r="S16" s="9" t="s">
        <v>66</v>
      </c>
      <c r="T16" s="11" t="s">
        <v>157</v>
      </c>
    </row>
    <row r="17" customFormat="false" ht="23.85" hidden="false" customHeight="false" outlineLevel="0" collapsed="false">
      <c r="A17" s="9" t="n">
        <v>16</v>
      </c>
      <c r="B17" s="9" t="s">
        <v>99</v>
      </c>
      <c r="C17" s="15" t="s">
        <v>83</v>
      </c>
      <c r="D17" s="9" t="s">
        <v>131</v>
      </c>
      <c r="E17" s="11" t="s">
        <v>158</v>
      </c>
      <c r="F17" s="11" t="s">
        <v>159</v>
      </c>
      <c r="G17" s="12" t="n">
        <v>50</v>
      </c>
      <c r="H17" s="9" t="n">
        <v>4</v>
      </c>
      <c r="I17" s="9" t="n">
        <f aca="false">COUNTIF(Keywords!$K$2:$K$140,E17)</f>
        <v>1</v>
      </c>
      <c r="J17" s="12" t="n">
        <f aca="false">SUMIFS(Keywords!$D$2:$D$140,Keywords!$K$2:$K$140,E17,Keywords!$H$2:$H$140,"&lt;&gt;P4 - Optional")</f>
        <v>50</v>
      </c>
      <c r="K17" s="9" t="n">
        <f aca="false">IFERROR(ROUND(AVERAGEIFS(Keywords!$E$2:$E$140,Keywords!$K$2:$K$140,E17,Keywords!$H$2:$H$140,"&lt;&gt;P4 - Optional"),1),"n/a")</f>
        <v>4</v>
      </c>
      <c r="L17" s="13" t="n">
        <f aca="false">IFERROR(ROUND(AVERAGEIFS(Keywords!$F$2:$F$140,Keywords!$K$2:$K$140,E17,Keywords!$H$2:$H$140,"&lt;&gt;P4 - Optional"),2),"n/a")</f>
        <v>0</v>
      </c>
      <c r="M17" s="16" t="s">
        <v>134</v>
      </c>
      <c r="N17" s="11" t="s">
        <v>160</v>
      </c>
      <c r="O17" s="9" t="n">
        <f aca="false">LEN(N17)</f>
        <v>54</v>
      </c>
      <c r="P17" s="11" t="s">
        <v>161</v>
      </c>
      <c r="Q17" s="9" t="s">
        <v>137</v>
      </c>
      <c r="R17" s="11" t="s">
        <v>129</v>
      </c>
      <c r="S17" s="9" t="s">
        <v>66</v>
      </c>
      <c r="T17" s="11" t="s">
        <v>162</v>
      </c>
    </row>
    <row r="18" customFormat="false" ht="23.85" hidden="false" customHeight="false" outlineLevel="0" collapsed="false">
      <c r="A18" s="9" t="n">
        <v>17</v>
      </c>
      <c r="B18" s="9" t="s">
        <v>163</v>
      </c>
      <c r="C18" s="15" t="s">
        <v>83</v>
      </c>
      <c r="D18" s="9" t="s">
        <v>84</v>
      </c>
      <c r="E18" s="11" t="s">
        <v>164</v>
      </c>
      <c r="F18" s="11" t="s">
        <v>165</v>
      </c>
      <c r="G18" s="12" t="n">
        <v>260</v>
      </c>
      <c r="H18" s="9" t="n">
        <v>11</v>
      </c>
      <c r="I18" s="9" t="n">
        <f aca="false">COUNTIF(Keywords!$K$2:$K$140,E18)</f>
        <v>4</v>
      </c>
      <c r="J18" s="12" t="n">
        <f aca="false">SUMIFS(Keywords!$D$2:$D$140,Keywords!$K$2:$K$140,E18,Keywords!$H$2:$H$140,"&lt;&gt;P4 - Optional")</f>
        <v>870</v>
      </c>
      <c r="K18" s="9" t="n">
        <f aca="false">IFERROR(ROUND(AVERAGEIFS(Keywords!$E$2:$E$140,Keywords!$K$2:$K$140,E18,Keywords!$H$2:$H$140,"&lt;&gt;P4 - Optional"),1),"n/a")</f>
        <v>10.8</v>
      </c>
      <c r="L18" s="13" t="n">
        <f aca="false">IFERROR(ROUND(AVERAGEIFS(Keywords!$F$2:$F$140,Keywords!$K$2:$K$140,E18,Keywords!$H$2:$H$140,"&lt;&gt;P4 - Optional"),2),"n/a")</f>
        <v>1.54</v>
      </c>
      <c r="M18" s="14" t="s">
        <v>61</v>
      </c>
      <c r="N18" s="11" t="s">
        <v>166</v>
      </c>
      <c r="O18" s="9" t="n">
        <f aca="false">LEN(N18)</f>
        <v>46</v>
      </c>
      <c r="P18" s="11" t="s">
        <v>167</v>
      </c>
      <c r="Q18" s="9" t="s">
        <v>110</v>
      </c>
      <c r="R18" s="11" t="s">
        <v>168</v>
      </c>
      <c r="S18" s="9" t="s">
        <v>66</v>
      </c>
      <c r="T18" s="11" t="s">
        <v>169</v>
      </c>
    </row>
    <row r="19" customFormat="false" ht="15" hidden="false" customHeight="false" outlineLevel="0" collapsed="false">
      <c r="A19" s="9" t="n">
        <v>18</v>
      </c>
      <c r="B19" s="9" t="s">
        <v>163</v>
      </c>
      <c r="C19" s="15" t="s">
        <v>83</v>
      </c>
      <c r="D19" s="9" t="s">
        <v>84</v>
      </c>
      <c r="E19" s="11" t="s">
        <v>170</v>
      </c>
      <c r="F19" s="11" t="s">
        <v>171</v>
      </c>
      <c r="G19" s="12" t="n">
        <v>210</v>
      </c>
      <c r="H19" s="9" t="n">
        <v>10</v>
      </c>
      <c r="I19" s="9" t="n">
        <f aca="false">COUNTIF(Keywords!$K$2:$K$140,E19)</f>
        <v>3</v>
      </c>
      <c r="J19" s="12" t="n">
        <f aca="false">SUMIFS(Keywords!$D$2:$D$140,Keywords!$K$2:$K$140,E19,Keywords!$H$2:$H$140,"&lt;&gt;P4 - Optional")</f>
        <v>400</v>
      </c>
      <c r="K19" s="9" t="n">
        <f aca="false">IFERROR(ROUND(AVERAGEIFS(Keywords!$E$2:$E$140,Keywords!$K$2:$K$140,E19,Keywords!$H$2:$H$140,"&lt;&gt;P4 - Optional"),1),"n/a")</f>
        <v>11.3</v>
      </c>
      <c r="L19" s="13" t="n">
        <f aca="false">IFERROR(ROUND(AVERAGEIFS(Keywords!$F$2:$F$140,Keywords!$K$2:$K$140,E19,Keywords!$H$2:$H$140,"&lt;&gt;P4 - Optional"),2),"n/a")</f>
        <v>1.39</v>
      </c>
      <c r="M19" s="16" t="s">
        <v>134</v>
      </c>
      <c r="N19" s="11" t="s">
        <v>172</v>
      </c>
      <c r="O19" s="9" t="n">
        <f aca="false">LEN(N19)</f>
        <v>50</v>
      </c>
      <c r="P19" s="11" t="s">
        <v>173</v>
      </c>
      <c r="Q19" s="9" t="s">
        <v>110</v>
      </c>
      <c r="R19" s="11" t="s">
        <v>174</v>
      </c>
      <c r="S19" s="9" t="s">
        <v>66</v>
      </c>
      <c r="T19" s="11" t="s">
        <v>175</v>
      </c>
    </row>
    <row r="20" customFormat="false" ht="23.85" hidden="false" customHeight="false" outlineLevel="0" collapsed="false">
      <c r="A20" s="9" t="n">
        <v>19</v>
      </c>
      <c r="B20" s="9" t="s">
        <v>163</v>
      </c>
      <c r="C20" s="15" t="s">
        <v>83</v>
      </c>
      <c r="D20" s="9" t="s">
        <v>68</v>
      </c>
      <c r="E20" s="11" t="s">
        <v>176</v>
      </c>
      <c r="F20" s="11" t="s">
        <v>177</v>
      </c>
      <c r="G20" s="12" t="n">
        <v>210</v>
      </c>
      <c r="H20" s="9" t="n">
        <v>13</v>
      </c>
      <c r="I20" s="9" t="n">
        <f aca="false">COUNTIF(Keywords!$K$2:$K$140,E20)</f>
        <v>1</v>
      </c>
      <c r="J20" s="12" t="n">
        <f aca="false">SUMIFS(Keywords!$D$2:$D$140,Keywords!$K$2:$K$140,E20,Keywords!$H$2:$H$140,"&lt;&gt;P4 - Optional")</f>
        <v>210</v>
      </c>
      <c r="K20" s="9" t="n">
        <f aca="false">IFERROR(ROUND(AVERAGEIFS(Keywords!$E$2:$E$140,Keywords!$K$2:$K$140,E20,Keywords!$H$2:$H$140,"&lt;&gt;P4 - Optional"),1),"n/a")</f>
        <v>13</v>
      </c>
      <c r="L20" s="13" t="n">
        <f aca="false">IFERROR(ROUND(AVERAGEIFS(Keywords!$F$2:$F$140,Keywords!$K$2:$K$140,E20,Keywords!$H$2:$H$140,"&lt;&gt;P4 - Optional"),2),"n/a")</f>
        <v>1.83</v>
      </c>
      <c r="M20" s="16" t="s">
        <v>134</v>
      </c>
      <c r="N20" s="11" t="s">
        <v>178</v>
      </c>
      <c r="O20" s="9" t="n">
        <f aca="false">LEN(N20)</f>
        <v>47</v>
      </c>
      <c r="P20" s="11" t="s">
        <v>179</v>
      </c>
      <c r="Q20" s="9" t="s">
        <v>110</v>
      </c>
      <c r="R20" s="11" t="s">
        <v>129</v>
      </c>
      <c r="S20" s="9" t="s">
        <v>91</v>
      </c>
      <c r="T20" s="11" t="s">
        <v>180</v>
      </c>
    </row>
    <row r="21" customFormat="false" ht="35.05" hidden="false" customHeight="false" outlineLevel="0" collapsed="false">
      <c r="A21" s="9" t="n">
        <v>20</v>
      </c>
      <c r="B21" s="9" t="s">
        <v>163</v>
      </c>
      <c r="C21" s="15" t="s">
        <v>83</v>
      </c>
      <c r="D21" s="9" t="s">
        <v>131</v>
      </c>
      <c r="E21" s="11" t="s">
        <v>181</v>
      </c>
      <c r="F21" s="11" t="s">
        <v>182</v>
      </c>
      <c r="G21" s="12" t="n">
        <v>90</v>
      </c>
      <c r="H21" s="9" t="n">
        <v>6</v>
      </c>
      <c r="I21" s="9" t="n">
        <f aca="false">COUNTIF(Keywords!$K$2:$K$140,E21)</f>
        <v>1</v>
      </c>
      <c r="J21" s="12" t="n">
        <f aca="false">SUMIFS(Keywords!$D$2:$D$140,Keywords!$K$2:$K$140,E21,Keywords!$H$2:$H$140,"&lt;&gt;P4 - Optional")</f>
        <v>90</v>
      </c>
      <c r="K21" s="9" t="n">
        <f aca="false">IFERROR(ROUND(AVERAGEIFS(Keywords!$E$2:$E$140,Keywords!$K$2:$K$140,E21,Keywords!$H$2:$H$140,"&lt;&gt;P4 - Optional"),1),"n/a")</f>
        <v>6</v>
      </c>
      <c r="L21" s="13" t="n">
        <f aca="false">IFERROR(ROUND(AVERAGEIFS(Keywords!$F$2:$F$140,Keywords!$K$2:$K$140,E21,Keywords!$H$2:$H$140,"&lt;&gt;P4 - Optional"),2),"n/a")</f>
        <v>0</v>
      </c>
      <c r="M21" s="17" t="s">
        <v>183</v>
      </c>
      <c r="N21" s="11" t="s">
        <v>184</v>
      </c>
      <c r="O21" s="9" t="n">
        <f aca="false">LEN(N21)</f>
        <v>52</v>
      </c>
      <c r="P21" s="11" t="s">
        <v>185</v>
      </c>
      <c r="Q21" s="9" t="s">
        <v>137</v>
      </c>
      <c r="R21" s="11" t="s">
        <v>129</v>
      </c>
      <c r="S21" s="9" t="s">
        <v>91</v>
      </c>
      <c r="T21" s="11" t="s">
        <v>186</v>
      </c>
    </row>
    <row r="22" customFormat="false" ht="35.05" hidden="false" customHeight="false" outlineLevel="0" collapsed="false">
      <c r="A22" s="9" t="n">
        <v>21</v>
      </c>
      <c r="B22" s="9" t="s">
        <v>163</v>
      </c>
      <c r="C22" s="15" t="s">
        <v>83</v>
      </c>
      <c r="D22" s="9" t="s">
        <v>131</v>
      </c>
      <c r="E22" s="11" t="s">
        <v>187</v>
      </c>
      <c r="F22" s="11" t="s">
        <v>188</v>
      </c>
      <c r="G22" s="12" t="n">
        <v>50</v>
      </c>
      <c r="H22" s="9" t="n">
        <v>6</v>
      </c>
      <c r="I22" s="9" t="n">
        <f aca="false">COUNTIF(Keywords!$K$2:$K$140,E22)</f>
        <v>1</v>
      </c>
      <c r="J22" s="12" t="n">
        <f aca="false">SUMIFS(Keywords!$D$2:$D$140,Keywords!$K$2:$K$140,E22,Keywords!$H$2:$H$140,"&lt;&gt;P4 - Optional")</f>
        <v>50</v>
      </c>
      <c r="K22" s="9" t="n">
        <f aca="false">IFERROR(ROUND(AVERAGEIFS(Keywords!$E$2:$E$140,Keywords!$K$2:$K$140,E22,Keywords!$H$2:$H$140,"&lt;&gt;P4 - Optional"),1),"n/a")</f>
        <v>6</v>
      </c>
      <c r="L22" s="13" t="n">
        <f aca="false">IFERROR(ROUND(AVERAGEIFS(Keywords!$F$2:$F$140,Keywords!$K$2:$K$140,E22,Keywords!$H$2:$H$140,"&lt;&gt;P4 - Optional"),2),"n/a")</f>
        <v>0</v>
      </c>
      <c r="M22" s="16" t="s">
        <v>134</v>
      </c>
      <c r="N22" s="11" t="s">
        <v>189</v>
      </c>
      <c r="O22" s="9" t="n">
        <f aca="false">LEN(N22)</f>
        <v>52</v>
      </c>
      <c r="P22" s="11" t="s">
        <v>190</v>
      </c>
      <c r="Q22" s="9" t="s">
        <v>137</v>
      </c>
      <c r="R22" s="11" t="s">
        <v>129</v>
      </c>
      <c r="S22" s="9" t="s">
        <v>91</v>
      </c>
      <c r="T22" s="11" t="s">
        <v>139</v>
      </c>
    </row>
    <row r="23" customFormat="false" ht="23.85" hidden="false" customHeight="false" outlineLevel="0" collapsed="false">
      <c r="A23" s="9" t="n">
        <v>22</v>
      </c>
      <c r="B23" s="9" t="s">
        <v>163</v>
      </c>
      <c r="C23" s="15" t="s">
        <v>83</v>
      </c>
      <c r="D23" s="9" t="s">
        <v>131</v>
      </c>
      <c r="E23" s="11" t="s">
        <v>191</v>
      </c>
      <c r="F23" s="11" t="s">
        <v>192</v>
      </c>
      <c r="G23" s="12" t="s">
        <v>193</v>
      </c>
      <c r="H23" s="9" t="s">
        <v>194</v>
      </c>
      <c r="I23" s="9" t="n">
        <f aca="false">COUNTIF(Keywords!$K$2:$K$140,E23)</f>
        <v>0</v>
      </c>
      <c r="J23" s="12" t="n">
        <f aca="false">SUMIFS(Keywords!$D$2:$D$140,Keywords!$K$2:$K$140,E23,Keywords!$H$2:$H$140,"&lt;&gt;P4 - Optional")</f>
        <v>0</v>
      </c>
      <c r="K23" s="9" t="str">
        <f aca="false">IFERROR(ROUND(AVERAGEIFS(Keywords!$E$2:$E$140,Keywords!$K$2:$K$140,E23,Keywords!$H$2:$H$140,"&lt;&gt;P4 - Optional"),1),"n/a")</f>
        <v>n/a</v>
      </c>
      <c r="L23" s="13" t="str">
        <f aca="false">IFERROR(ROUND(AVERAGEIFS(Keywords!$F$2:$F$140,Keywords!$K$2:$K$140,E23,Keywords!$H$2:$H$140,"&lt;&gt;P4 - Optional"),2),"n/a")</f>
        <v>n/a</v>
      </c>
      <c r="M23" s="16" t="s">
        <v>134</v>
      </c>
      <c r="N23" s="11" t="s">
        <v>195</v>
      </c>
      <c r="O23" s="9" t="n">
        <f aca="false">LEN(N23)</f>
        <v>52</v>
      </c>
      <c r="P23" s="11" t="s">
        <v>196</v>
      </c>
      <c r="Q23" s="9" t="s">
        <v>137</v>
      </c>
      <c r="R23" s="11" t="s">
        <v>129</v>
      </c>
      <c r="S23" s="9" t="s">
        <v>66</v>
      </c>
      <c r="T23" s="11" t="s">
        <v>162</v>
      </c>
    </row>
    <row r="24" customFormat="false" ht="23.85" hidden="false" customHeight="false" outlineLevel="0" collapsed="false">
      <c r="A24" s="9" t="n">
        <v>23</v>
      </c>
      <c r="B24" s="9" t="s">
        <v>163</v>
      </c>
      <c r="C24" s="15" t="s">
        <v>83</v>
      </c>
      <c r="D24" s="9" t="s">
        <v>131</v>
      </c>
      <c r="E24" s="11" t="s">
        <v>197</v>
      </c>
      <c r="F24" s="11" t="s">
        <v>198</v>
      </c>
      <c r="G24" s="12" t="s">
        <v>193</v>
      </c>
      <c r="H24" s="9" t="s">
        <v>194</v>
      </c>
      <c r="I24" s="9" t="n">
        <f aca="false">COUNTIF(Keywords!$K$2:$K$140,E24)</f>
        <v>0</v>
      </c>
      <c r="J24" s="12" t="n">
        <f aca="false">SUMIFS(Keywords!$D$2:$D$140,Keywords!$K$2:$K$140,E24,Keywords!$H$2:$H$140,"&lt;&gt;P4 - Optional")</f>
        <v>0</v>
      </c>
      <c r="K24" s="9" t="str">
        <f aca="false">IFERROR(ROUND(AVERAGEIFS(Keywords!$E$2:$E$140,Keywords!$K$2:$K$140,E24,Keywords!$H$2:$H$140,"&lt;&gt;P4 - Optional"),1),"n/a")</f>
        <v>n/a</v>
      </c>
      <c r="L24" s="13" t="str">
        <f aca="false">IFERROR(ROUND(AVERAGEIFS(Keywords!$F$2:$F$140,Keywords!$K$2:$K$140,E24,Keywords!$H$2:$H$140,"&lt;&gt;P4 - Optional"),2),"n/a")</f>
        <v>n/a</v>
      </c>
      <c r="M24" s="16" t="s">
        <v>134</v>
      </c>
      <c r="N24" s="11" t="s">
        <v>199</v>
      </c>
      <c r="O24" s="9" t="n">
        <f aca="false">LEN(N24)</f>
        <v>56</v>
      </c>
      <c r="P24" s="11" t="s">
        <v>200</v>
      </c>
      <c r="Q24" s="9" t="s">
        <v>137</v>
      </c>
      <c r="R24" s="11" t="s">
        <v>129</v>
      </c>
      <c r="S24" s="9" t="s">
        <v>66</v>
      </c>
      <c r="T24" s="11" t="s">
        <v>157</v>
      </c>
    </row>
    <row r="25" customFormat="false" ht="23.85" hidden="false" customHeight="false" outlineLevel="0" collapsed="false">
      <c r="A25" s="9" t="n">
        <v>24</v>
      </c>
      <c r="B25" s="9" t="s">
        <v>163</v>
      </c>
      <c r="C25" s="15" t="s">
        <v>83</v>
      </c>
      <c r="D25" s="9" t="s">
        <v>131</v>
      </c>
      <c r="E25" s="11" t="s">
        <v>201</v>
      </c>
      <c r="F25" s="11" t="s">
        <v>202</v>
      </c>
      <c r="G25" s="12" t="s">
        <v>193</v>
      </c>
      <c r="H25" s="9" t="s">
        <v>194</v>
      </c>
      <c r="I25" s="9" t="n">
        <f aca="false">COUNTIF(Keywords!$K$2:$K$140,E25)</f>
        <v>0</v>
      </c>
      <c r="J25" s="12" t="n">
        <f aca="false">SUMIFS(Keywords!$D$2:$D$140,Keywords!$K$2:$K$140,E25,Keywords!$H$2:$H$140,"&lt;&gt;P4 - Optional")</f>
        <v>0</v>
      </c>
      <c r="K25" s="9" t="str">
        <f aca="false">IFERROR(ROUND(AVERAGEIFS(Keywords!$E$2:$E$140,Keywords!$K$2:$K$140,E25,Keywords!$H$2:$H$140,"&lt;&gt;P4 - Optional"),1),"n/a")</f>
        <v>n/a</v>
      </c>
      <c r="L25" s="13" t="str">
        <f aca="false">IFERROR(ROUND(AVERAGEIFS(Keywords!$F$2:$F$140,Keywords!$K$2:$K$140,E25,Keywords!$H$2:$H$140,"&lt;&gt;P4 - Optional"),2),"n/a")</f>
        <v>n/a</v>
      </c>
      <c r="M25" s="16" t="s">
        <v>134</v>
      </c>
      <c r="N25" s="11" t="s">
        <v>203</v>
      </c>
      <c r="O25" s="9" t="n">
        <f aca="false">LEN(N25)</f>
        <v>56</v>
      </c>
      <c r="P25" s="11" t="s">
        <v>204</v>
      </c>
      <c r="Q25" s="9" t="s">
        <v>137</v>
      </c>
      <c r="R25" s="11" t="s">
        <v>129</v>
      </c>
      <c r="S25" s="9" t="s">
        <v>66</v>
      </c>
      <c r="T25" s="11" t="s">
        <v>157</v>
      </c>
    </row>
    <row r="26" customFormat="false" ht="23.85" hidden="false" customHeight="false" outlineLevel="0" collapsed="false">
      <c r="A26" s="9" t="n">
        <v>25</v>
      </c>
      <c r="B26" s="9" t="s">
        <v>163</v>
      </c>
      <c r="C26" s="15" t="s">
        <v>83</v>
      </c>
      <c r="D26" s="9" t="s">
        <v>131</v>
      </c>
      <c r="E26" s="11" t="s">
        <v>205</v>
      </c>
      <c r="F26" s="11" t="s">
        <v>206</v>
      </c>
      <c r="G26" s="12" t="s">
        <v>193</v>
      </c>
      <c r="H26" s="9" t="s">
        <v>194</v>
      </c>
      <c r="I26" s="9" t="n">
        <f aca="false">COUNTIF(Keywords!$K$2:$K$140,E26)</f>
        <v>0</v>
      </c>
      <c r="J26" s="12" t="n">
        <f aca="false">SUMIFS(Keywords!$D$2:$D$140,Keywords!$K$2:$K$140,E26,Keywords!$H$2:$H$140,"&lt;&gt;P4 - Optional")</f>
        <v>0</v>
      </c>
      <c r="K26" s="9" t="str">
        <f aca="false">IFERROR(ROUND(AVERAGEIFS(Keywords!$E$2:$E$140,Keywords!$K$2:$K$140,E26,Keywords!$H$2:$H$140,"&lt;&gt;P4 - Optional"),1),"n/a")</f>
        <v>n/a</v>
      </c>
      <c r="L26" s="13" t="str">
        <f aca="false">IFERROR(ROUND(AVERAGEIFS(Keywords!$F$2:$F$140,Keywords!$K$2:$K$140,E26,Keywords!$H$2:$H$140,"&lt;&gt;P4 - Optional"),2),"n/a")</f>
        <v>n/a</v>
      </c>
      <c r="M26" s="16" t="s">
        <v>134</v>
      </c>
      <c r="N26" s="11" t="s">
        <v>207</v>
      </c>
      <c r="O26" s="9" t="n">
        <f aca="false">LEN(N26)</f>
        <v>55</v>
      </c>
      <c r="P26" s="11" t="s">
        <v>208</v>
      </c>
      <c r="Q26" s="9" t="s">
        <v>137</v>
      </c>
      <c r="R26" s="11" t="s">
        <v>129</v>
      </c>
      <c r="S26" s="9" t="s">
        <v>66</v>
      </c>
      <c r="T26" s="11" t="s">
        <v>157</v>
      </c>
    </row>
    <row r="27" customFormat="false" ht="15" hidden="false" customHeight="false" outlineLevel="0" collapsed="false">
      <c r="A27" s="9" t="n">
        <v>26</v>
      </c>
      <c r="B27" s="9" t="s">
        <v>209</v>
      </c>
      <c r="C27" s="15" t="s">
        <v>83</v>
      </c>
      <c r="D27" s="9" t="s">
        <v>84</v>
      </c>
      <c r="E27" s="11" t="s">
        <v>210</v>
      </c>
      <c r="F27" s="11" t="s">
        <v>211</v>
      </c>
      <c r="G27" s="12" t="n">
        <v>110</v>
      </c>
      <c r="H27" s="9" t="n">
        <v>15</v>
      </c>
      <c r="I27" s="9" t="n">
        <f aca="false">COUNTIF(Keywords!$K$2:$K$140,E27)</f>
        <v>3</v>
      </c>
      <c r="J27" s="12" t="n">
        <f aca="false">SUMIFS(Keywords!$D$2:$D$140,Keywords!$K$2:$K$140,E27,Keywords!$H$2:$H$140,"&lt;&gt;P4 - Optional")</f>
        <v>290</v>
      </c>
      <c r="K27" s="9" t="n">
        <f aca="false">IFERROR(ROUND(AVERAGEIFS(Keywords!$E$2:$E$140,Keywords!$K$2:$K$140,E27,Keywords!$H$2:$H$140,"&lt;&gt;P4 - Optional"),1),"n/a")</f>
        <v>12.3</v>
      </c>
      <c r="L27" s="13" t="n">
        <f aca="false">IFERROR(ROUND(AVERAGEIFS(Keywords!$F$2:$F$140,Keywords!$K$2:$K$140,E27,Keywords!$H$2:$H$140,"&lt;&gt;P4 - Optional"),2),"n/a")</f>
        <v>1.75</v>
      </c>
      <c r="M27" s="16" t="s">
        <v>134</v>
      </c>
      <c r="N27" s="11" t="s">
        <v>212</v>
      </c>
      <c r="O27" s="9" t="n">
        <f aca="false">LEN(N27)</f>
        <v>48</v>
      </c>
      <c r="P27" s="11" t="s">
        <v>213</v>
      </c>
      <c r="Q27" s="9" t="s">
        <v>214</v>
      </c>
      <c r="R27" s="11" t="s">
        <v>215</v>
      </c>
      <c r="S27" s="9" t="s">
        <v>66</v>
      </c>
      <c r="T27" s="11" t="s">
        <v>216</v>
      </c>
    </row>
    <row r="28" customFormat="false" ht="15" hidden="false" customHeight="false" outlineLevel="0" collapsed="false">
      <c r="A28" s="9" t="n">
        <v>27</v>
      </c>
      <c r="B28" s="9" t="s">
        <v>209</v>
      </c>
      <c r="C28" s="15" t="s">
        <v>83</v>
      </c>
      <c r="D28" s="9" t="s">
        <v>68</v>
      </c>
      <c r="E28" s="11" t="s">
        <v>217</v>
      </c>
      <c r="F28" s="11" t="s">
        <v>218</v>
      </c>
      <c r="G28" s="12" t="n">
        <v>90</v>
      </c>
      <c r="H28" s="9" t="n">
        <v>5</v>
      </c>
      <c r="I28" s="9" t="n">
        <f aca="false">COUNTIF(Keywords!$K$2:$K$140,E28)</f>
        <v>3</v>
      </c>
      <c r="J28" s="12" t="n">
        <f aca="false">SUMIFS(Keywords!$D$2:$D$140,Keywords!$K$2:$K$140,E28,Keywords!$H$2:$H$140,"&lt;&gt;P4 - Optional")</f>
        <v>210</v>
      </c>
      <c r="K28" s="9" t="n">
        <f aca="false">IFERROR(ROUND(AVERAGEIFS(Keywords!$E$2:$E$140,Keywords!$K$2:$K$140,E28,Keywords!$H$2:$H$140,"&lt;&gt;P4 - Optional"),1),"n/a")</f>
        <v>8.3</v>
      </c>
      <c r="L28" s="13" t="n">
        <f aca="false">IFERROR(ROUND(AVERAGEIFS(Keywords!$F$2:$F$140,Keywords!$K$2:$K$140,E28,Keywords!$H$2:$H$140,"&lt;&gt;P4 - Optional"),2),"n/a")</f>
        <v>0.9</v>
      </c>
      <c r="M28" s="16" t="s">
        <v>134</v>
      </c>
      <c r="N28" s="11" t="s">
        <v>219</v>
      </c>
      <c r="O28" s="9" t="n">
        <f aca="false">LEN(N28)</f>
        <v>49</v>
      </c>
      <c r="P28" s="11" t="s">
        <v>220</v>
      </c>
      <c r="Q28" s="9" t="s">
        <v>221</v>
      </c>
      <c r="R28" s="11" t="s">
        <v>222</v>
      </c>
      <c r="S28" s="9" t="s">
        <v>66</v>
      </c>
      <c r="T28" s="11" t="s">
        <v>223</v>
      </c>
    </row>
    <row r="29" customFormat="false" ht="15" hidden="false" customHeight="false" outlineLevel="0" collapsed="false">
      <c r="A29" s="9" t="n">
        <v>28</v>
      </c>
      <c r="B29" s="9" t="s">
        <v>209</v>
      </c>
      <c r="C29" s="15" t="s">
        <v>83</v>
      </c>
      <c r="D29" s="9" t="s">
        <v>68</v>
      </c>
      <c r="E29" s="11" t="s">
        <v>224</v>
      </c>
      <c r="F29" s="11" t="s">
        <v>225</v>
      </c>
      <c r="G29" s="12" t="n">
        <v>50</v>
      </c>
      <c r="H29" s="9" t="n">
        <v>5</v>
      </c>
      <c r="I29" s="9" t="n">
        <f aca="false">COUNTIF(Keywords!$K$2:$K$140,E29)</f>
        <v>1</v>
      </c>
      <c r="J29" s="12" t="n">
        <f aca="false">SUMIFS(Keywords!$D$2:$D$140,Keywords!$K$2:$K$140,E29,Keywords!$H$2:$H$140,"&lt;&gt;P4 - Optional")</f>
        <v>50</v>
      </c>
      <c r="K29" s="9" t="n">
        <f aca="false">IFERROR(ROUND(AVERAGEIFS(Keywords!$E$2:$E$140,Keywords!$K$2:$K$140,E29,Keywords!$H$2:$H$140,"&lt;&gt;P4 - Optional"),1),"n/a")</f>
        <v>5</v>
      </c>
      <c r="L29" s="13" t="n">
        <f aca="false">IFERROR(ROUND(AVERAGEIFS(Keywords!$F$2:$F$140,Keywords!$K$2:$K$140,E29,Keywords!$H$2:$H$140,"&lt;&gt;P4 - Optional"),2),"n/a")</f>
        <v>0</v>
      </c>
      <c r="M29" s="17" t="s">
        <v>183</v>
      </c>
      <c r="N29" s="11" t="s">
        <v>226</v>
      </c>
      <c r="O29" s="9" t="n">
        <f aca="false">LEN(N29)</f>
        <v>52</v>
      </c>
      <c r="P29" s="11" t="s">
        <v>227</v>
      </c>
      <c r="Q29" s="9" t="s">
        <v>214</v>
      </c>
      <c r="R29" s="11" t="s">
        <v>129</v>
      </c>
      <c r="S29" s="9" t="s">
        <v>66</v>
      </c>
      <c r="T29" s="11" t="s">
        <v>228</v>
      </c>
    </row>
    <row r="30" customFormat="false" ht="23.85" hidden="false" customHeight="false" outlineLevel="0" collapsed="false">
      <c r="A30" s="9" t="n">
        <v>29</v>
      </c>
      <c r="B30" s="9" t="s">
        <v>209</v>
      </c>
      <c r="C30" s="15" t="s">
        <v>83</v>
      </c>
      <c r="D30" s="9" t="s">
        <v>131</v>
      </c>
      <c r="E30" s="11" t="s">
        <v>229</v>
      </c>
      <c r="F30" s="11" t="s">
        <v>230</v>
      </c>
      <c r="G30" s="12" t="s">
        <v>193</v>
      </c>
      <c r="H30" s="9" t="s">
        <v>194</v>
      </c>
      <c r="I30" s="9" t="n">
        <f aca="false">COUNTIF(Keywords!$K$2:$K$140,E30)</f>
        <v>0</v>
      </c>
      <c r="J30" s="12" t="n">
        <f aca="false">SUMIFS(Keywords!$D$2:$D$140,Keywords!$K$2:$K$140,E30,Keywords!$H$2:$H$140,"&lt;&gt;P4 - Optional")</f>
        <v>0</v>
      </c>
      <c r="K30" s="9" t="str">
        <f aca="false">IFERROR(ROUND(AVERAGEIFS(Keywords!$E$2:$E$140,Keywords!$K$2:$K$140,E30,Keywords!$H$2:$H$140,"&lt;&gt;P4 - Optional"),1),"n/a")</f>
        <v>n/a</v>
      </c>
      <c r="L30" s="13" t="str">
        <f aca="false">IFERROR(ROUND(AVERAGEIFS(Keywords!$F$2:$F$140,Keywords!$K$2:$K$140,E30,Keywords!$H$2:$H$140,"&lt;&gt;P4 - Optional"),2),"n/a")</f>
        <v>n/a</v>
      </c>
      <c r="M30" s="17" t="s">
        <v>183</v>
      </c>
      <c r="N30" s="11" t="s">
        <v>231</v>
      </c>
      <c r="O30" s="9" t="n">
        <f aca="false">LEN(N30)</f>
        <v>54</v>
      </c>
      <c r="P30" s="11" t="s">
        <v>232</v>
      </c>
      <c r="Q30" s="9" t="s">
        <v>137</v>
      </c>
      <c r="R30" s="11" t="s">
        <v>129</v>
      </c>
      <c r="S30" s="9" t="s">
        <v>66</v>
      </c>
      <c r="T30" s="11" t="s">
        <v>233</v>
      </c>
    </row>
    <row r="31" customFormat="false" ht="23.85" hidden="false" customHeight="false" outlineLevel="0" collapsed="false">
      <c r="A31" s="9" t="n">
        <v>30</v>
      </c>
      <c r="B31" s="9" t="s">
        <v>209</v>
      </c>
      <c r="C31" s="15" t="s">
        <v>83</v>
      </c>
      <c r="D31" s="9" t="s">
        <v>131</v>
      </c>
      <c r="E31" s="11" t="s">
        <v>234</v>
      </c>
      <c r="F31" s="11" t="s">
        <v>235</v>
      </c>
      <c r="G31" s="12" t="s">
        <v>193</v>
      </c>
      <c r="H31" s="9" t="s">
        <v>194</v>
      </c>
      <c r="I31" s="9" t="n">
        <f aca="false">COUNTIF(Keywords!$K$2:$K$140,E31)</f>
        <v>0</v>
      </c>
      <c r="J31" s="12" t="n">
        <f aca="false">SUMIFS(Keywords!$D$2:$D$140,Keywords!$K$2:$K$140,E31,Keywords!$H$2:$H$140,"&lt;&gt;P4 - Optional")</f>
        <v>0</v>
      </c>
      <c r="K31" s="9" t="str">
        <f aca="false">IFERROR(ROUND(AVERAGEIFS(Keywords!$E$2:$E$140,Keywords!$K$2:$K$140,E31,Keywords!$H$2:$H$140,"&lt;&gt;P4 - Optional"),1),"n/a")</f>
        <v>n/a</v>
      </c>
      <c r="L31" s="13" t="str">
        <f aca="false">IFERROR(ROUND(AVERAGEIFS(Keywords!$F$2:$F$140,Keywords!$K$2:$K$140,E31,Keywords!$H$2:$H$140,"&lt;&gt;P4 - Optional"),2),"n/a")</f>
        <v>n/a</v>
      </c>
      <c r="M31" s="17" t="s">
        <v>183</v>
      </c>
      <c r="N31" s="11" t="s">
        <v>236</v>
      </c>
      <c r="O31" s="9" t="n">
        <f aca="false">LEN(N31)</f>
        <v>52</v>
      </c>
      <c r="P31" s="11" t="s">
        <v>237</v>
      </c>
      <c r="Q31" s="9" t="s">
        <v>137</v>
      </c>
      <c r="R31" s="11" t="s">
        <v>129</v>
      </c>
      <c r="S31" s="9" t="s">
        <v>66</v>
      </c>
      <c r="T31" s="11" t="s">
        <v>233</v>
      </c>
    </row>
    <row r="32" customFormat="false" ht="23.85" hidden="false" customHeight="false" outlineLevel="0" collapsed="false">
      <c r="A32" s="9" t="n">
        <v>31</v>
      </c>
      <c r="B32" s="9" t="s">
        <v>209</v>
      </c>
      <c r="C32" s="15" t="s">
        <v>83</v>
      </c>
      <c r="D32" s="9" t="s">
        <v>131</v>
      </c>
      <c r="E32" s="11" t="s">
        <v>238</v>
      </c>
      <c r="F32" s="11" t="s">
        <v>239</v>
      </c>
      <c r="G32" s="12" t="s">
        <v>193</v>
      </c>
      <c r="H32" s="9" t="s">
        <v>194</v>
      </c>
      <c r="I32" s="9" t="n">
        <f aca="false">COUNTIF(Keywords!$K$2:$K$140,E32)</f>
        <v>0</v>
      </c>
      <c r="J32" s="12" t="n">
        <f aca="false">SUMIFS(Keywords!$D$2:$D$140,Keywords!$K$2:$K$140,E32,Keywords!$H$2:$H$140,"&lt;&gt;P4 - Optional")</f>
        <v>0</v>
      </c>
      <c r="K32" s="9" t="str">
        <f aca="false">IFERROR(ROUND(AVERAGEIFS(Keywords!$E$2:$E$140,Keywords!$K$2:$K$140,E32,Keywords!$H$2:$H$140,"&lt;&gt;P4 - Optional"),1),"n/a")</f>
        <v>n/a</v>
      </c>
      <c r="L32" s="13" t="str">
        <f aca="false">IFERROR(ROUND(AVERAGEIFS(Keywords!$F$2:$F$140,Keywords!$K$2:$K$140,E32,Keywords!$H$2:$H$140,"&lt;&gt;P4 - Optional"),2),"n/a")</f>
        <v>n/a</v>
      </c>
      <c r="M32" s="17" t="s">
        <v>183</v>
      </c>
      <c r="N32" s="11" t="s">
        <v>240</v>
      </c>
      <c r="O32" s="9" t="n">
        <f aca="false">LEN(N32)</f>
        <v>54</v>
      </c>
      <c r="P32" s="11" t="s">
        <v>241</v>
      </c>
      <c r="Q32" s="9" t="s">
        <v>137</v>
      </c>
      <c r="R32" s="11" t="s">
        <v>129</v>
      </c>
      <c r="S32" s="9" t="s">
        <v>66</v>
      </c>
      <c r="T32" s="11" t="s">
        <v>233</v>
      </c>
    </row>
    <row r="33" customFormat="false" ht="23.85" hidden="false" customHeight="false" outlineLevel="0" collapsed="false">
      <c r="A33" s="9" t="n">
        <v>32</v>
      </c>
      <c r="B33" s="9" t="s">
        <v>209</v>
      </c>
      <c r="C33" s="15" t="s">
        <v>83</v>
      </c>
      <c r="D33" s="9" t="s">
        <v>131</v>
      </c>
      <c r="E33" s="11" t="s">
        <v>242</v>
      </c>
      <c r="F33" s="11" t="s">
        <v>243</v>
      </c>
      <c r="G33" s="12" t="s">
        <v>193</v>
      </c>
      <c r="H33" s="9" t="s">
        <v>194</v>
      </c>
      <c r="I33" s="9" t="n">
        <f aca="false">COUNTIF(Keywords!$K$2:$K$140,E33)</f>
        <v>0</v>
      </c>
      <c r="J33" s="12" t="n">
        <f aca="false">SUMIFS(Keywords!$D$2:$D$140,Keywords!$K$2:$K$140,E33,Keywords!$H$2:$H$140,"&lt;&gt;P4 - Optional")</f>
        <v>0</v>
      </c>
      <c r="K33" s="9" t="str">
        <f aca="false">IFERROR(ROUND(AVERAGEIFS(Keywords!$E$2:$E$140,Keywords!$K$2:$K$140,E33,Keywords!$H$2:$H$140,"&lt;&gt;P4 - Optional"),1),"n/a")</f>
        <v>n/a</v>
      </c>
      <c r="L33" s="13" t="str">
        <f aca="false">IFERROR(ROUND(AVERAGEIFS(Keywords!$F$2:$F$140,Keywords!$K$2:$K$140,E33,Keywords!$H$2:$H$140,"&lt;&gt;P4 - Optional"),2),"n/a")</f>
        <v>n/a</v>
      </c>
      <c r="M33" s="17" t="s">
        <v>183</v>
      </c>
      <c r="N33" s="11" t="s">
        <v>244</v>
      </c>
      <c r="O33" s="9" t="n">
        <f aca="false">LEN(N33)</f>
        <v>52</v>
      </c>
      <c r="P33" s="11" t="s">
        <v>245</v>
      </c>
      <c r="Q33" s="9" t="s">
        <v>137</v>
      </c>
      <c r="R33" s="11" t="s">
        <v>129</v>
      </c>
      <c r="S33" s="9" t="s">
        <v>66</v>
      </c>
      <c r="T33" s="11" t="s">
        <v>246</v>
      </c>
    </row>
    <row r="34" customFormat="false" ht="23.85" hidden="false" customHeight="false" outlineLevel="0" collapsed="false">
      <c r="A34" s="9" t="n">
        <v>33</v>
      </c>
      <c r="B34" s="9" t="s">
        <v>209</v>
      </c>
      <c r="C34" s="15" t="s">
        <v>83</v>
      </c>
      <c r="D34" s="9" t="s">
        <v>131</v>
      </c>
      <c r="E34" s="11" t="s">
        <v>247</v>
      </c>
      <c r="F34" s="11" t="s">
        <v>248</v>
      </c>
      <c r="G34" s="12" t="s">
        <v>193</v>
      </c>
      <c r="H34" s="9" t="s">
        <v>194</v>
      </c>
      <c r="I34" s="9" t="n">
        <f aca="false">COUNTIF(Keywords!$K$2:$K$140,E34)</f>
        <v>0</v>
      </c>
      <c r="J34" s="12" t="n">
        <f aca="false">SUMIFS(Keywords!$D$2:$D$140,Keywords!$K$2:$K$140,E34,Keywords!$H$2:$H$140,"&lt;&gt;P4 - Optional")</f>
        <v>0</v>
      </c>
      <c r="K34" s="9" t="str">
        <f aca="false">IFERROR(ROUND(AVERAGEIFS(Keywords!$E$2:$E$140,Keywords!$K$2:$K$140,E34,Keywords!$H$2:$H$140,"&lt;&gt;P4 - Optional"),1),"n/a")</f>
        <v>n/a</v>
      </c>
      <c r="L34" s="13" t="str">
        <f aca="false">IFERROR(ROUND(AVERAGEIFS(Keywords!$F$2:$F$140,Keywords!$K$2:$K$140,E34,Keywords!$H$2:$H$140,"&lt;&gt;P4 - Optional"),2),"n/a")</f>
        <v>n/a</v>
      </c>
      <c r="M34" s="17" t="s">
        <v>183</v>
      </c>
      <c r="N34" s="11" t="s">
        <v>249</v>
      </c>
      <c r="O34" s="9" t="n">
        <f aca="false">LEN(N34)</f>
        <v>54</v>
      </c>
      <c r="P34" s="11" t="s">
        <v>250</v>
      </c>
      <c r="Q34" s="9" t="s">
        <v>137</v>
      </c>
      <c r="R34" s="11" t="s">
        <v>129</v>
      </c>
      <c r="S34" s="9" t="s">
        <v>66</v>
      </c>
      <c r="T34" s="11" t="s">
        <v>246</v>
      </c>
    </row>
    <row r="35" customFormat="false" ht="23.85" hidden="false" customHeight="false" outlineLevel="0" collapsed="false">
      <c r="A35" s="9" t="n">
        <v>34</v>
      </c>
      <c r="B35" s="9" t="s">
        <v>209</v>
      </c>
      <c r="C35" s="15" t="s">
        <v>83</v>
      </c>
      <c r="D35" s="9" t="s">
        <v>131</v>
      </c>
      <c r="E35" s="11" t="s">
        <v>251</v>
      </c>
      <c r="F35" s="11" t="s">
        <v>252</v>
      </c>
      <c r="G35" s="12" t="s">
        <v>193</v>
      </c>
      <c r="H35" s="9" t="s">
        <v>194</v>
      </c>
      <c r="I35" s="9" t="n">
        <f aca="false">COUNTIF(Keywords!$K$2:$K$140,E35)</f>
        <v>0</v>
      </c>
      <c r="J35" s="12" t="n">
        <f aca="false">SUMIFS(Keywords!$D$2:$D$140,Keywords!$K$2:$K$140,E35,Keywords!$H$2:$H$140,"&lt;&gt;P4 - Optional")</f>
        <v>0</v>
      </c>
      <c r="K35" s="9" t="str">
        <f aca="false">IFERROR(ROUND(AVERAGEIFS(Keywords!$E$2:$E$140,Keywords!$K$2:$K$140,E35,Keywords!$H$2:$H$140,"&lt;&gt;P4 - Optional"),1),"n/a")</f>
        <v>n/a</v>
      </c>
      <c r="L35" s="13" t="str">
        <f aca="false">IFERROR(ROUND(AVERAGEIFS(Keywords!$F$2:$F$140,Keywords!$K$2:$K$140,E35,Keywords!$H$2:$H$140,"&lt;&gt;P4 - Optional"),2),"n/a")</f>
        <v>n/a</v>
      </c>
      <c r="M35" s="17" t="s">
        <v>183</v>
      </c>
      <c r="N35" s="11" t="s">
        <v>253</v>
      </c>
      <c r="O35" s="9" t="n">
        <f aca="false">LEN(N35)</f>
        <v>55</v>
      </c>
      <c r="P35" s="11" t="s">
        <v>254</v>
      </c>
      <c r="Q35" s="9" t="s">
        <v>137</v>
      </c>
      <c r="R35" s="11" t="s">
        <v>129</v>
      </c>
      <c r="S35" s="9" t="s">
        <v>66</v>
      </c>
      <c r="T35" s="11" t="s">
        <v>246</v>
      </c>
    </row>
    <row r="36" customFormat="false" ht="15" hidden="false" customHeight="false" outlineLevel="0" collapsed="false">
      <c r="A36" s="9" t="n">
        <v>35</v>
      </c>
      <c r="B36" s="9" t="s">
        <v>255</v>
      </c>
      <c r="C36" s="15" t="s">
        <v>83</v>
      </c>
      <c r="D36" s="9" t="s">
        <v>68</v>
      </c>
      <c r="E36" s="11" t="s">
        <v>256</v>
      </c>
      <c r="F36" s="11" t="s">
        <v>257</v>
      </c>
      <c r="G36" s="12" t="n">
        <v>70</v>
      </c>
      <c r="H36" s="9" t="n">
        <v>8</v>
      </c>
      <c r="I36" s="9" t="n">
        <f aca="false">COUNTIF(Keywords!$K$2:$K$140,E36)</f>
        <v>2</v>
      </c>
      <c r="J36" s="12" t="n">
        <f aca="false">SUMIFS(Keywords!$D$2:$D$140,Keywords!$K$2:$K$140,E36,Keywords!$H$2:$H$140,"&lt;&gt;P4 - Optional")</f>
        <v>120</v>
      </c>
      <c r="K36" s="9" t="n">
        <f aca="false">IFERROR(ROUND(AVERAGEIFS(Keywords!$E$2:$E$140,Keywords!$K$2:$K$140,E36,Keywords!$H$2:$H$140,"&lt;&gt;P4 - Optional"),1),"n/a")</f>
        <v>9.5</v>
      </c>
      <c r="L36" s="13" t="n">
        <f aca="false">IFERROR(ROUND(AVERAGEIFS(Keywords!$F$2:$F$140,Keywords!$K$2:$K$140,E36,Keywords!$H$2:$H$140,"&lt;&gt;P4 - Optional"),2),"n/a")</f>
        <v>1.43</v>
      </c>
      <c r="M36" s="17" t="s">
        <v>183</v>
      </c>
      <c r="N36" s="11" t="s">
        <v>258</v>
      </c>
      <c r="O36" s="9" t="n">
        <f aca="false">LEN(N36)</f>
        <v>49</v>
      </c>
      <c r="P36" s="11" t="s">
        <v>259</v>
      </c>
      <c r="Q36" s="9" t="s">
        <v>221</v>
      </c>
      <c r="R36" s="11" t="s">
        <v>260</v>
      </c>
      <c r="S36" s="9" t="s">
        <v>66</v>
      </c>
      <c r="T36" s="11" t="s">
        <v>261</v>
      </c>
    </row>
    <row r="37" customFormat="false" ht="23.85" hidden="false" customHeight="false" outlineLevel="0" collapsed="false">
      <c r="A37" s="9" t="n">
        <v>36</v>
      </c>
      <c r="B37" s="9" t="s">
        <v>255</v>
      </c>
      <c r="C37" s="15" t="s">
        <v>83</v>
      </c>
      <c r="D37" s="9" t="s">
        <v>131</v>
      </c>
      <c r="E37" s="11" t="s">
        <v>262</v>
      </c>
      <c r="F37" s="11" t="s">
        <v>263</v>
      </c>
      <c r="G37" s="12" t="s">
        <v>193</v>
      </c>
      <c r="H37" s="9" t="s">
        <v>194</v>
      </c>
      <c r="I37" s="9" t="n">
        <f aca="false">COUNTIF(Keywords!$K$2:$K$140,E37)</f>
        <v>0</v>
      </c>
      <c r="J37" s="12" t="n">
        <f aca="false">SUMIFS(Keywords!$D$2:$D$140,Keywords!$K$2:$K$140,E37,Keywords!$H$2:$H$140,"&lt;&gt;P4 - Optional")</f>
        <v>0</v>
      </c>
      <c r="K37" s="9" t="str">
        <f aca="false">IFERROR(ROUND(AVERAGEIFS(Keywords!$E$2:$E$140,Keywords!$K$2:$K$140,E37,Keywords!$H$2:$H$140,"&lt;&gt;P4 - Optional"),1),"n/a")</f>
        <v>n/a</v>
      </c>
      <c r="L37" s="13" t="str">
        <f aca="false">IFERROR(ROUND(AVERAGEIFS(Keywords!$F$2:$F$140,Keywords!$K$2:$K$140,E37,Keywords!$H$2:$H$140,"&lt;&gt;P4 - Optional"),2),"n/a")</f>
        <v>n/a</v>
      </c>
      <c r="M37" s="17" t="s">
        <v>183</v>
      </c>
      <c r="N37" s="11" t="s">
        <v>264</v>
      </c>
      <c r="O37" s="9" t="n">
        <f aca="false">LEN(N37)</f>
        <v>54</v>
      </c>
      <c r="P37" s="11" t="s">
        <v>265</v>
      </c>
      <c r="Q37" s="9" t="s">
        <v>137</v>
      </c>
      <c r="R37" s="11" t="s">
        <v>129</v>
      </c>
      <c r="S37" s="9" t="s">
        <v>66</v>
      </c>
      <c r="T37" s="11" t="s">
        <v>246</v>
      </c>
    </row>
    <row r="38" customFormat="false" ht="23.85" hidden="false" customHeight="false" outlineLevel="0" collapsed="false">
      <c r="A38" s="9" t="n">
        <v>37</v>
      </c>
      <c r="B38" s="9" t="s">
        <v>255</v>
      </c>
      <c r="C38" s="15" t="s">
        <v>83</v>
      </c>
      <c r="D38" s="9" t="s">
        <v>131</v>
      </c>
      <c r="E38" s="11" t="s">
        <v>266</v>
      </c>
      <c r="F38" s="11" t="s">
        <v>267</v>
      </c>
      <c r="G38" s="12" t="s">
        <v>193</v>
      </c>
      <c r="H38" s="9" t="s">
        <v>194</v>
      </c>
      <c r="I38" s="9" t="n">
        <f aca="false">COUNTIF(Keywords!$K$2:$K$140,E38)</f>
        <v>0</v>
      </c>
      <c r="J38" s="12" t="n">
        <f aca="false">SUMIFS(Keywords!$D$2:$D$140,Keywords!$K$2:$K$140,E38,Keywords!$H$2:$H$140,"&lt;&gt;P4 - Optional")</f>
        <v>0</v>
      </c>
      <c r="K38" s="9" t="str">
        <f aca="false">IFERROR(ROUND(AVERAGEIFS(Keywords!$E$2:$E$140,Keywords!$K$2:$K$140,E38,Keywords!$H$2:$H$140,"&lt;&gt;P4 - Optional"),1),"n/a")</f>
        <v>n/a</v>
      </c>
      <c r="L38" s="13" t="str">
        <f aca="false">IFERROR(ROUND(AVERAGEIFS(Keywords!$F$2:$F$140,Keywords!$K$2:$K$140,E38,Keywords!$H$2:$H$140,"&lt;&gt;P4 - Optional"),2),"n/a")</f>
        <v>n/a</v>
      </c>
      <c r="M38" s="17" t="s">
        <v>183</v>
      </c>
      <c r="N38" s="11" t="s">
        <v>268</v>
      </c>
      <c r="O38" s="9" t="n">
        <f aca="false">LEN(N38)</f>
        <v>53</v>
      </c>
      <c r="P38" s="11" t="s">
        <v>269</v>
      </c>
      <c r="Q38" s="9" t="s">
        <v>137</v>
      </c>
      <c r="R38" s="11" t="s">
        <v>129</v>
      </c>
      <c r="S38" s="9" t="s">
        <v>66</v>
      </c>
      <c r="T38" s="11" t="s">
        <v>246</v>
      </c>
    </row>
    <row r="39" customFormat="false" ht="23.85" hidden="false" customHeight="false" outlineLevel="0" collapsed="false">
      <c r="A39" s="9" t="n">
        <v>38</v>
      </c>
      <c r="B39" s="9" t="s">
        <v>255</v>
      </c>
      <c r="C39" s="15" t="s">
        <v>83</v>
      </c>
      <c r="D39" s="9" t="s">
        <v>131</v>
      </c>
      <c r="E39" s="11" t="s">
        <v>270</v>
      </c>
      <c r="F39" s="11" t="s">
        <v>271</v>
      </c>
      <c r="G39" s="12" t="s">
        <v>193</v>
      </c>
      <c r="H39" s="9" t="s">
        <v>194</v>
      </c>
      <c r="I39" s="9" t="n">
        <f aca="false">COUNTIF(Keywords!$K$2:$K$140,E39)</f>
        <v>0</v>
      </c>
      <c r="J39" s="12" t="n">
        <f aca="false">SUMIFS(Keywords!$D$2:$D$140,Keywords!$K$2:$K$140,E39,Keywords!$H$2:$H$140,"&lt;&gt;P4 - Optional")</f>
        <v>0</v>
      </c>
      <c r="K39" s="9" t="str">
        <f aca="false">IFERROR(ROUND(AVERAGEIFS(Keywords!$E$2:$E$140,Keywords!$K$2:$K$140,E39,Keywords!$H$2:$H$140,"&lt;&gt;P4 - Optional"),1),"n/a")</f>
        <v>n/a</v>
      </c>
      <c r="L39" s="13" t="str">
        <f aca="false">IFERROR(ROUND(AVERAGEIFS(Keywords!$F$2:$F$140,Keywords!$K$2:$K$140,E39,Keywords!$H$2:$H$140,"&lt;&gt;P4 - Optional"),2),"n/a")</f>
        <v>n/a</v>
      </c>
      <c r="M39" s="17" t="s">
        <v>183</v>
      </c>
      <c r="N39" s="11" t="s">
        <v>272</v>
      </c>
      <c r="O39" s="9" t="n">
        <f aca="false">LEN(N39)</f>
        <v>60</v>
      </c>
      <c r="P39" s="11" t="s">
        <v>273</v>
      </c>
      <c r="Q39" s="9" t="s">
        <v>137</v>
      </c>
      <c r="R39" s="11" t="s">
        <v>129</v>
      </c>
      <c r="S39" s="9" t="s">
        <v>66</v>
      </c>
      <c r="T39" s="11" t="s">
        <v>246</v>
      </c>
    </row>
    <row r="40" customFormat="false" ht="23.85" hidden="false" customHeight="false" outlineLevel="0" collapsed="false">
      <c r="A40" s="9" t="n">
        <v>39</v>
      </c>
      <c r="B40" s="9" t="s">
        <v>255</v>
      </c>
      <c r="C40" s="15" t="s">
        <v>83</v>
      </c>
      <c r="D40" s="9" t="s">
        <v>131</v>
      </c>
      <c r="E40" s="11" t="s">
        <v>274</v>
      </c>
      <c r="F40" s="11" t="s">
        <v>275</v>
      </c>
      <c r="G40" s="12" t="s">
        <v>193</v>
      </c>
      <c r="H40" s="9" t="s">
        <v>194</v>
      </c>
      <c r="I40" s="9" t="n">
        <f aca="false">COUNTIF(Keywords!$K$2:$K$140,E40)</f>
        <v>0</v>
      </c>
      <c r="J40" s="12" t="n">
        <f aca="false">SUMIFS(Keywords!$D$2:$D$140,Keywords!$K$2:$K$140,E40,Keywords!$H$2:$H$140,"&lt;&gt;P4 - Optional")</f>
        <v>0</v>
      </c>
      <c r="K40" s="9" t="str">
        <f aca="false">IFERROR(ROUND(AVERAGEIFS(Keywords!$E$2:$E$140,Keywords!$K$2:$K$140,E40,Keywords!$H$2:$H$140,"&lt;&gt;P4 - Optional"),1),"n/a")</f>
        <v>n/a</v>
      </c>
      <c r="L40" s="13" t="str">
        <f aca="false">IFERROR(ROUND(AVERAGEIFS(Keywords!$F$2:$F$140,Keywords!$K$2:$K$140,E40,Keywords!$H$2:$H$140,"&lt;&gt;P4 - Optional"),2),"n/a")</f>
        <v>n/a</v>
      </c>
      <c r="M40" s="17" t="s">
        <v>183</v>
      </c>
      <c r="N40" s="11" t="s">
        <v>276</v>
      </c>
      <c r="O40" s="9" t="n">
        <f aca="false">LEN(N40)</f>
        <v>55</v>
      </c>
      <c r="P40" s="11" t="s">
        <v>277</v>
      </c>
      <c r="Q40" s="9" t="s">
        <v>137</v>
      </c>
      <c r="R40" s="11" t="s">
        <v>129</v>
      </c>
      <c r="S40" s="9" t="s">
        <v>66</v>
      </c>
      <c r="T40" s="11" t="s">
        <v>246</v>
      </c>
    </row>
    <row r="41" customFormat="false" ht="23.85" hidden="false" customHeight="false" outlineLevel="0" collapsed="false">
      <c r="A41" s="9" t="n">
        <v>40</v>
      </c>
      <c r="B41" s="9" t="s">
        <v>255</v>
      </c>
      <c r="C41" s="15" t="s">
        <v>83</v>
      </c>
      <c r="D41" s="9" t="s">
        <v>131</v>
      </c>
      <c r="E41" s="11" t="s">
        <v>278</v>
      </c>
      <c r="F41" s="11" t="s">
        <v>279</v>
      </c>
      <c r="G41" s="12" t="s">
        <v>193</v>
      </c>
      <c r="H41" s="9" t="s">
        <v>194</v>
      </c>
      <c r="I41" s="9" t="n">
        <f aca="false">COUNTIF(Keywords!$K$2:$K$140,E41)</f>
        <v>0</v>
      </c>
      <c r="J41" s="12" t="n">
        <f aca="false">SUMIFS(Keywords!$D$2:$D$140,Keywords!$K$2:$K$140,E41,Keywords!$H$2:$H$140,"&lt;&gt;P4 - Optional")</f>
        <v>0</v>
      </c>
      <c r="K41" s="9" t="str">
        <f aca="false">IFERROR(ROUND(AVERAGEIFS(Keywords!$E$2:$E$140,Keywords!$K$2:$K$140,E41,Keywords!$H$2:$H$140,"&lt;&gt;P4 - Optional"),1),"n/a")</f>
        <v>n/a</v>
      </c>
      <c r="L41" s="13" t="str">
        <f aca="false">IFERROR(ROUND(AVERAGEIFS(Keywords!$F$2:$F$140,Keywords!$K$2:$K$140,E41,Keywords!$H$2:$H$140,"&lt;&gt;P4 - Optional"),2),"n/a")</f>
        <v>n/a</v>
      </c>
      <c r="M41" s="17" t="s">
        <v>183</v>
      </c>
      <c r="N41" s="11" t="s">
        <v>280</v>
      </c>
      <c r="O41" s="9" t="n">
        <f aca="false">LEN(N41)</f>
        <v>58</v>
      </c>
      <c r="P41" s="11" t="s">
        <v>281</v>
      </c>
      <c r="Q41" s="9" t="s">
        <v>137</v>
      </c>
      <c r="R41" s="11" t="s">
        <v>129</v>
      </c>
      <c r="S41" s="9" t="s">
        <v>66</v>
      </c>
      <c r="T41" s="11" t="s">
        <v>246</v>
      </c>
    </row>
    <row r="42" customFormat="false" ht="35.05" hidden="false" customHeight="false" outlineLevel="0" collapsed="false">
      <c r="A42" s="9" t="n">
        <v>41</v>
      </c>
      <c r="B42" s="9" t="s">
        <v>282</v>
      </c>
      <c r="C42" s="15" t="s">
        <v>83</v>
      </c>
      <c r="D42" s="9" t="s">
        <v>283</v>
      </c>
      <c r="E42" s="11" t="s">
        <v>284</v>
      </c>
      <c r="F42" s="11" t="s">
        <v>285</v>
      </c>
      <c r="G42" s="12" t="n">
        <v>110</v>
      </c>
      <c r="H42" s="9" t="n">
        <v>14</v>
      </c>
      <c r="I42" s="9" t="n">
        <f aca="false">COUNTIF(Keywords!$K$2:$K$140,E42)</f>
        <v>15</v>
      </c>
      <c r="J42" s="12" t="n">
        <f aca="false">SUMIFS(Keywords!$D$2:$D$140,Keywords!$K$2:$K$140,E42,Keywords!$H$2:$H$140,"&lt;&gt;P4 - Optional")</f>
        <v>160</v>
      </c>
      <c r="K42" s="9" t="n">
        <f aca="false">IFERROR(ROUND(AVERAGEIFS(Keywords!$E$2:$E$140,Keywords!$K$2:$K$140,E42,Keywords!$H$2:$H$140,"&lt;&gt;P4 - Optional"),1),"n/a")</f>
        <v>11.5</v>
      </c>
      <c r="L42" s="13" t="n">
        <f aca="false">IFERROR(ROUND(AVERAGEIFS(Keywords!$F$2:$F$140,Keywords!$K$2:$K$140,E42,Keywords!$H$2:$H$140,"&lt;&gt;P4 - Optional"),2),"n/a")</f>
        <v>2.01</v>
      </c>
      <c r="M42" s="17" t="s">
        <v>183</v>
      </c>
      <c r="N42" s="11" t="s">
        <v>286</v>
      </c>
      <c r="O42" s="9" t="n">
        <f aca="false">LEN(N42)</f>
        <v>49</v>
      </c>
      <c r="P42" s="11" t="s">
        <v>287</v>
      </c>
      <c r="Q42" s="9" t="s">
        <v>110</v>
      </c>
      <c r="R42" s="11" t="s">
        <v>288</v>
      </c>
      <c r="S42" s="9" t="s">
        <v>91</v>
      </c>
      <c r="T42" s="11" t="s">
        <v>289</v>
      </c>
    </row>
    <row r="43" customFormat="false" ht="23.85" hidden="false" customHeight="false" outlineLevel="0" collapsed="false">
      <c r="A43" s="9" t="n">
        <v>42</v>
      </c>
      <c r="B43" s="9" t="s">
        <v>282</v>
      </c>
      <c r="C43" s="15" t="s">
        <v>83</v>
      </c>
      <c r="D43" s="9" t="s">
        <v>68</v>
      </c>
      <c r="E43" s="11" t="s">
        <v>290</v>
      </c>
      <c r="F43" s="11" t="s">
        <v>291</v>
      </c>
      <c r="G43" s="12" t="n">
        <v>90</v>
      </c>
      <c r="H43" s="9" t="n">
        <v>4</v>
      </c>
      <c r="I43" s="9" t="n">
        <f aca="false">COUNTIF(Keywords!$K$2:$K$140,E43)</f>
        <v>1</v>
      </c>
      <c r="J43" s="12" t="n">
        <f aca="false">SUMIFS(Keywords!$D$2:$D$140,Keywords!$K$2:$K$140,E43,Keywords!$H$2:$H$140,"&lt;&gt;P4 - Optional")</f>
        <v>90</v>
      </c>
      <c r="K43" s="9" t="n">
        <f aca="false">IFERROR(ROUND(AVERAGEIFS(Keywords!$E$2:$E$140,Keywords!$K$2:$K$140,E43,Keywords!$H$2:$H$140,"&lt;&gt;P4 - Optional"),1),"n/a")</f>
        <v>4</v>
      </c>
      <c r="L43" s="13" t="n">
        <f aca="false">IFERROR(ROUND(AVERAGEIFS(Keywords!$F$2:$F$140,Keywords!$K$2:$K$140,E43,Keywords!$H$2:$H$140,"&lt;&gt;P4 - Optional"),2),"n/a")</f>
        <v>0</v>
      </c>
      <c r="M43" s="17" t="s">
        <v>183</v>
      </c>
      <c r="N43" s="11" t="s">
        <v>292</v>
      </c>
      <c r="O43" s="9" t="n">
        <f aca="false">LEN(N43)</f>
        <v>51</v>
      </c>
      <c r="P43" s="11" t="s">
        <v>293</v>
      </c>
      <c r="Q43" s="9" t="s">
        <v>221</v>
      </c>
      <c r="R43" s="11" t="s">
        <v>129</v>
      </c>
      <c r="S43" s="9" t="s">
        <v>91</v>
      </c>
      <c r="T43" s="11" t="s">
        <v>294</v>
      </c>
    </row>
    <row r="44" customFormat="false" ht="23.85" hidden="false" customHeight="false" outlineLevel="0" collapsed="false">
      <c r="A44" s="9" t="n">
        <v>43</v>
      </c>
      <c r="B44" s="9" t="s">
        <v>282</v>
      </c>
      <c r="C44" s="15" t="s">
        <v>83</v>
      </c>
      <c r="D44" s="9" t="s">
        <v>131</v>
      </c>
      <c r="E44" s="11" t="s">
        <v>295</v>
      </c>
      <c r="F44" s="11" t="s">
        <v>296</v>
      </c>
      <c r="G44" s="12" t="s">
        <v>193</v>
      </c>
      <c r="H44" s="9" t="s">
        <v>194</v>
      </c>
      <c r="I44" s="9" t="n">
        <f aca="false">COUNTIF(Keywords!$K$2:$K$140,E44)</f>
        <v>0</v>
      </c>
      <c r="J44" s="12" t="n">
        <f aca="false">SUMIFS(Keywords!$D$2:$D$140,Keywords!$K$2:$K$140,E44,Keywords!$H$2:$H$140,"&lt;&gt;P4 - Optional")</f>
        <v>0</v>
      </c>
      <c r="K44" s="9" t="str">
        <f aca="false">IFERROR(ROUND(AVERAGEIFS(Keywords!$E$2:$E$140,Keywords!$K$2:$K$140,E44,Keywords!$H$2:$H$140,"&lt;&gt;P4 - Optional"),1),"n/a")</f>
        <v>n/a</v>
      </c>
      <c r="L44" s="13" t="str">
        <f aca="false">IFERROR(ROUND(AVERAGEIFS(Keywords!$F$2:$F$140,Keywords!$K$2:$K$140,E44,Keywords!$H$2:$H$140,"&lt;&gt;P4 - Optional"),2),"n/a")</f>
        <v>n/a</v>
      </c>
      <c r="M44" s="17" t="s">
        <v>183</v>
      </c>
      <c r="N44" s="11" t="s">
        <v>297</v>
      </c>
      <c r="O44" s="9" t="n">
        <f aca="false">LEN(N44)</f>
        <v>54</v>
      </c>
      <c r="P44" s="11" t="s">
        <v>298</v>
      </c>
      <c r="Q44" s="9" t="s">
        <v>137</v>
      </c>
      <c r="R44" s="11" t="s">
        <v>129</v>
      </c>
      <c r="S44" s="9" t="s">
        <v>66</v>
      </c>
      <c r="T44" s="11" t="s">
        <v>246</v>
      </c>
    </row>
    <row r="45" customFormat="false" ht="23.85" hidden="false" customHeight="false" outlineLevel="0" collapsed="false">
      <c r="A45" s="9" t="n">
        <v>44</v>
      </c>
      <c r="B45" s="9" t="s">
        <v>282</v>
      </c>
      <c r="C45" s="15" t="s">
        <v>83</v>
      </c>
      <c r="D45" s="9" t="s">
        <v>131</v>
      </c>
      <c r="E45" s="11" t="s">
        <v>299</v>
      </c>
      <c r="F45" s="11" t="s">
        <v>300</v>
      </c>
      <c r="G45" s="12" t="s">
        <v>193</v>
      </c>
      <c r="H45" s="9" t="s">
        <v>194</v>
      </c>
      <c r="I45" s="9" t="n">
        <f aca="false">COUNTIF(Keywords!$K$2:$K$140,E45)</f>
        <v>0</v>
      </c>
      <c r="J45" s="12" t="n">
        <f aca="false">SUMIFS(Keywords!$D$2:$D$140,Keywords!$K$2:$K$140,E45,Keywords!$H$2:$H$140,"&lt;&gt;P4 - Optional")</f>
        <v>0</v>
      </c>
      <c r="K45" s="9" t="str">
        <f aca="false">IFERROR(ROUND(AVERAGEIFS(Keywords!$E$2:$E$140,Keywords!$K$2:$K$140,E45,Keywords!$H$2:$H$140,"&lt;&gt;P4 - Optional"),1),"n/a")</f>
        <v>n/a</v>
      </c>
      <c r="L45" s="13" t="str">
        <f aca="false">IFERROR(ROUND(AVERAGEIFS(Keywords!$F$2:$F$140,Keywords!$K$2:$K$140,E45,Keywords!$H$2:$H$140,"&lt;&gt;P4 - Optional"),2),"n/a")</f>
        <v>n/a</v>
      </c>
      <c r="M45" s="17" t="s">
        <v>183</v>
      </c>
      <c r="N45" s="11" t="s">
        <v>301</v>
      </c>
      <c r="O45" s="9" t="n">
        <f aca="false">LEN(N45)</f>
        <v>54</v>
      </c>
      <c r="P45" s="11" t="s">
        <v>302</v>
      </c>
      <c r="Q45" s="9" t="s">
        <v>137</v>
      </c>
      <c r="R45" s="11" t="s">
        <v>129</v>
      </c>
      <c r="S45" s="9" t="s">
        <v>66</v>
      </c>
      <c r="T45" s="11" t="s">
        <v>303</v>
      </c>
    </row>
    <row r="46" customFormat="false" ht="23.85" hidden="false" customHeight="false" outlineLevel="0" collapsed="false">
      <c r="A46" s="9" t="n">
        <v>45</v>
      </c>
      <c r="B46" s="9" t="s">
        <v>282</v>
      </c>
      <c r="C46" s="15" t="s">
        <v>83</v>
      </c>
      <c r="D46" s="9" t="s">
        <v>131</v>
      </c>
      <c r="E46" s="11" t="s">
        <v>304</v>
      </c>
      <c r="F46" s="11" t="s">
        <v>305</v>
      </c>
      <c r="G46" s="12" t="s">
        <v>193</v>
      </c>
      <c r="H46" s="9" t="s">
        <v>194</v>
      </c>
      <c r="I46" s="9" t="n">
        <f aca="false">COUNTIF(Keywords!$K$2:$K$140,E46)</f>
        <v>0</v>
      </c>
      <c r="J46" s="12" t="n">
        <f aca="false">SUMIFS(Keywords!$D$2:$D$140,Keywords!$K$2:$K$140,E46,Keywords!$H$2:$H$140,"&lt;&gt;P4 - Optional")</f>
        <v>0</v>
      </c>
      <c r="K46" s="9" t="str">
        <f aca="false">IFERROR(ROUND(AVERAGEIFS(Keywords!$E$2:$E$140,Keywords!$K$2:$K$140,E46,Keywords!$H$2:$H$140,"&lt;&gt;P4 - Optional"),1),"n/a")</f>
        <v>n/a</v>
      </c>
      <c r="L46" s="13" t="str">
        <f aca="false">IFERROR(ROUND(AVERAGEIFS(Keywords!$F$2:$F$140,Keywords!$K$2:$K$140,E46,Keywords!$H$2:$H$140,"&lt;&gt;P4 - Optional"),2),"n/a")</f>
        <v>n/a</v>
      </c>
      <c r="M46" s="17" t="s">
        <v>183</v>
      </c>
      <c r="N46" s="11" t="s">
        <v>306</v>
      </c>
      <c r="O46" s="9" t="n">
        <f aca="false">LEN(N46)</f>
        <v>52</v>
      </c>
      <c r="P46" s="11" t="s">
        <v>307</v>
      </c>
      <c r="Q46" s="9" t="s">
        <v>137</v>
      </c>
      <c r="R46" s="11" t="s">
        <v>129</v>
      </c>
      <c r="S46" s="9" t="s">
        <v>66</v>
      </c>
      <c r="T46" s="11" t="s">
        <v>303</v>
      </c>
    </row>
    <row r="47" customFormat="false" ht="23.85" hidden="false" customHeight="false" outlineLevel="0" collapsed="false">
      <c r="A47" s="9" t="n">
        <v>46</v>
      </c>
      <c r="B47" s="9" t="s">
        <v>282</v>
      </c>
      <c r="C47" s="15" t="s">
        <v>83</v>
      </c>
      <c r="D47" s="9" t="s">
        <v>131</v>
      </c>
      <c r="E47" s="11" t="s">
        <v>308</v>
      </c>
      <c r="F47" s="11" t="s">
        <v>309</v>
      </c>
      <c r="G47" s="12" t="s">
        <v>193</v>
      </c>
      <c r="H47" s="9" t="s">
        <v>194</v>
      </c>
      <c r="I47" s="9" t="n">
        <f aca="false">COUNTIF(Keywords!$K$2:$K$140,E47)</f>
        <v>0</v>
      </c>
      <c r="J47" s="12" t="n">
        <f aca="false">SUMIFS(Keywords!$D$2:$D$140,Keywords!$K$2:$K$140,E47,Keywords!$H$2:$H$140,"&lt;&gt;P4 - Optional")</f>
        <v>0</v>
      </c>
      <c r="K47" s="9" t="str">
        <f aca="false">IFERROR(ROUND(AVERAGEIFS(Keywords!$E$2:$E$140,Keywords!$K$2:$K$140,E47,Keywords!$H$2:$H$140,"&lt;&gt;P4 - Optional"),1),"n/a")</f>
        <v>n/a</v>
      </c>
      <c r="L47" s="13" t="str">
        <f aca="false">IFERROR(ROUND(AVERAGEIFS(Keywords!$F$2:$F$140,Keywords!$K$2:$K$140,E47,Keywords!$H$2:$H$140,"&lt;&gt;P4 - Optional"),2),"n/a")</f>
        <v>n/a</v>
      </c>
      <c r="M47" s="17" t="s">
        <v>183</v>
      </c>
      <c r="N47" s="11" t="s">
        <v>310</v>
      </c>
      <c r="O47" s="9" t="n">
        <f aca="false">LEN(N47)</f>
        <v>57</v>
      </c>
      <c r="P47" s="11" t="s">
        <v>311</v>
      </c>
      <c r="Q47" s="9" t="s">
        <v>137</v>
      </c>
      <c r="R47" s="11" t="s">
        <v>129</v>
      </c>
      <c r="S47" s="9" t="s">
        <v>66</v>
      </c>
      <c r="T47" s="11" t="s">
        <v>303</v>
      </c>
    </row>
    <row r="48" customFormat="false" ht="23.85" hidden="false" customHeight="false" outlineLevel="0" collapsed="false">
      <c r="A48" s="9" t="n">
        <v>47</v>
      </c>
      <c r="B48" s="9" t="s">
        <v>282</v>
      </c>
      <c r="C48" s="15" t="s">
        <v>83</v>
      </c>
      <c r="D48" s="9" t="s">
        <v>131</v>
      </c>
      <c r="E48" s="11" t="s">
        <v>312</v>
      </c>
      <c r="F48" s="11" t="s">
        <v>313</v>
      </c>
      <c r="G48" s="12" t="s">
        <v>193</v>
      </c>
      <c r="H48" s="9" t="s">
        <v>194</v>
      </c>
      <c r="I48" s="9" t="n">
        <f aca="false">COUNTIF(Keywords!$K$2:$K$140,E48)</f>
        <v>0</v>
      </c>
      <c r="J48" s="12" t="n">
        <f aca="false">SUMIFS(Keywords!$D$2:$D$140,Keywords!$K$2:$K$140,E48,Keywords!$H$2:$H$140,"&lt;&gt;P4 - Optional")</f>
        <v>0</v>
      </c>
      <c r="K48" s="9" t="str">
        <f aca="false">IFERROR(ROUND(AVERAGEIFS(Keywords!$E$2:$E$140,Keywords!$K$2:$K$140,E48,Keywords!$H$2:$H$140,"&lt;&gt;P4 - Optional"),1),"n/a")</f>
        <v>n/a</v>
      </c>
      <c r="L48" s="13" t="str">
        <f aca="false">IFERROR(ROUND(AVERAGEIFS(Keywords!$F$2:$F$140,Keywords!$K$2:$K$140,E48,Keywords!$H$2:$H$140,"&lt;&gt;P4 - Optional"),2),"n/a")</f>
        <v>n/a</v>
      </c>
      <c r="M48" s="17" t="s">
        <v>183</v>
      </c>
      <c r="N48" s="11" t="s">
        <v>314</v>
      </c>
      <c r="O48" s="9" t="n">
        <f aca="false">LEN(N48)</f>
        <v>53</v>
      </c>
      <c r="P48" s="11" t="s">
        <v>315</v>
      </c>
      <c r="Q48" s="9" t="s">
        <v>137</v>
      </c>
      <c r="R48" s="11" t="s">
        <v>129</v>
      </c>
      <c r="S48" s="9" t="s">
        <v>66</v>
      </c>
      <c r="T48" s="11" t="s">
        <v>303</v>
      </c>
    </row>
    <row r="49" customFormat="false" ht="23.85" hidden="false" customHeight="false" outlineLevel="0" collapsed="false">
      <c r="A49" s="9" t="n">
        <v>48</v>
      </c>
      <c r="B49" s="9" t="s">
        <v>282</v>
      </c>
      <c r="C49" s="15" t="s">
        <v>83</v>
      </c>
      <c r="D49" s="9" t="s">
        <v>131</v>
      </c>
      <c r="E49" s="11" t="s">
        <v>316</v>
      </c>
      <c r="F49" s="11" t="s">
        <v>317</v>
      </c>
      <c r="G49" s="12" t="s">
        <v>193</v>
      </c>
      <c r="H49" s="9" t="s">
        <v>194</v>
      </c>
      <c r="I49" s="9" t="n">
        <f aca="false">COUNTIF(Keywords!$K$2:$K$140,E49)</f>
        <v>0</v>
      </c>
      <c r="J49" s="12" t="n">
        <f aca="false">SUMIFS(Keywords!$D$2:$D$140,Keywords!$K$2:$K$140,E49,Keywords!$H$2:$H$140,"&lt;&gt;P4 - Optional")</f>
        <v>0</v>
      </c>
      <c r="K49" s="9" t="str">
        <f aca="false">IFERROR(ROUND(AVERAGEIFS(Keywords!$E$2:$E$140,Keywords!$K$2:$K$140,E49,Keywords!$H$2:$H$140,"&lt;&gt;P4 - Optional"),1),"n/a")</f>
        <v>n/a</v>
      </c>
      <c r="L49" s="13" t="str">
        <f aca="false">IFERROR(ROUND(AVERAGEIFS(Keywords!$F$2:$F$140,Keywords!$K$2:$K$140,E49,Keywords!$H$2:$H$140,"&lt;&gt;P4 - Optional"),2),"n/a")</f>
        <v>n/a</v>
      </c>
      <c r="M49" s="17" t="s">
        <v>183</v>
      </c>
      <c r="N49" s="11" t="s">
        <v>318</v>
      </c>
      <c r="O49" s="9" t="n">
        <f aca="false">LEN(N49)</f>
        <v>55</v>
      </c>
      <c r="P49" s="11" t="s">
        <v>319</v>
      </c>
      <c r="Q49" s="9" t="s">
        <v>137</v>
      </c>
      <c r="R49" s="11" t="s">
        <v>129</v>
      </c>
      <c r="S49" s="9" t="s">
        <v>66</v>
      </c>
      <c r="T49" s="11" t="s">
        <v>303</v>
      </c>
    </row>
    <row r="50" customFormat="false" ht="23.85" hidden="false" customHeight="false" outlineLevel="0" collapsed="false">
      <c r="A50" s="9" t="n">
        <v>49</v>
      </c>
      <c r="B50" s="9" t="s">
        <v>320</v>
      </c>
      <c r="C50" s="15" t="s">
        <v>83</v>
      </c>
      <c r="D50" s="9" t="s">
        <v>84</v>
      </c>
      <c r="E50" s="11" t="s">
        <v>321</v>
      </c>
      <c r="F50" s="11" t="s">
        <v>322</v>
      </c>
      <c r="G50" s="12" t="n">
        <v>110</v>
      </c>
      <c r="H50" s="9" t="n">
        <v>19</v>
      </c>
      <c r="I50" s="9" t="n">
        <f aca="false">COUNTIF(Keywords!$K$2:$K$140,E50)</f>
        <v>2</v>
      </c>
      <c r="J50" s="12" t="n">
        <f aca="false">SUMIFS(Keywords!$D$2:$D$140,Keywords!$K$2:$K$140,E50,Keywords!$H$2:$H$140,"&lt;&gt;P4 - Optional")</f>
        <v>220</v>
      </c>
      <c r="K50" s="9" t="n">
        <f aca="false">IFERROR(ROUND(AVERAGEIFS(Keywords!$E$2:$E$140,Keywords!$K$2:$K$140,E50,Keywords!$H$2:$H$140,"&lt;&gt;P4 - Optional"),1),"n/a")</f>
        <v>19</v>
      </c>
      <c r="L50" s="13" t="n">
        <f aca="false">IFERROR(ROUND(AVERAGEIFS(Keywords!$F$2:$F$140,Keywords!$K$2:$K$140,E50,Keywords!$H$2:$H$140,"&lt;&gt;P4 - Optional"),2),"n/a")</f>
        <v>1.53</v>
      </c>
      <c r="M50" s="16" t="s">
        <v>134</v>
      </c>
      <c r="N50" s="11" t="s">
        <v>323</v>
      </c>
      <c r="O50" s="9" t="n">
        <f aca="false">LEN(N50)</f>
        <v>46</v>
      </c>
      <c r="P50" s="11" t="s">
        <v>324</v>
      </c>
      <c r="Q50" s="9" t="s">
        <v>325</v>
      </c>
      <c r="R50" s="11" t="s">
        <v>326</v>
      </c>
      <c r="S50" s="9" t="s">
        <v>91</v>
      </c>
      <c r="T50" s="11" t="s">
        <v>327</v>
      </c>
    </row>
    <row r="51" customFormat="false" ht="23.85" hidden="false" customHeight="false" outlineLevel="0" collapsed="false">
      <c r="A51" s="9" t="n">
        <v>50</v>
      </c>
      <c r="B51" s="9" t="s">
        <v>320</v>
      </c>
      <c r="C51" s="15" t="s">
        <v>83</v>
      </c>
      <c r="D51" s="9" t="s">
        <v>84</v>
      </c>
      <c r="E51" s="11" t="s">
        <v>328</v>
      </c>
      <c r="F51" s="11" t="s">
        <v>329</v>
      </c>
      <c r="G51" s="12" t="n">
        <v>140</v>
      </c>
      <c r="H51" s="9" t="n">
        <v>17</v>
      </c>
      <c r="I51" s="9" t="n">
        <f aca="false">COUNTIF(Keywords!$K$2:$K$140,E51)</f>
        <v>1</v>
      </c>
      <c r="J51" s="12" t="n">
        <f aca="false">SUMIFS(Keywords!$D$2:$D$140,Keywords!$K$2:$K$140,E51,Keywords!$H$2:$H$140,"&lt;&gt;P4 - Optional")</f>
        <v>140</v>
      </c>
      <c r="K51" s="9" t="n">
        <f aca="false">IFERROR(ROUND(AVERAGEIFS(Keywords!$E$2:$E$140,Keywords!$K$2:$K$140,E51,Keywords!$H$2:$H$140,"&lt;&gt;P4 - Optional"),1),"n/a")</f>
        <v>17</v>
      </c>
      <c r="L51" s="13" t="n">
        <f aca="false">IFERROR(ROUND(AVERAGEIFS(Keywords!$F$2:$F$140,Keywords!$K$2:$K$140,E51,Keywords!$H$2:$H$140,"&lt;&gt;P4 - Optional"),2),"n/a")</f>
        <v>1.49</v>
      </c>
      <c r="M51" s="17" t="s">
        <v>183</v>
      </c>
      <c r="N51" s="11" t="s">
        <v>330</v>
      </c>
      <c r="O51" s="9" t="n">
        <f aca="false">LEN(N51)</f>
        <v>45</v>
      </c>
      <c r="P51" s="11" t="s">
        <v>331</v>
      </c>
      <c r="Q51" s="9" t="s">
        <v>325</v>
      </c>
      <c r="R51" s="11" t="s">
        <v>129</v>
      </c>
      <c r="S51" s="9" t="s">
        <v>91</v>
      </c>
      <c r="T51" s="11" t="s">
        <v>332</v>
      </c>
    </row>
    <row r="52" customFormat="false" ht="23.85" hidden="false" customHeight="false" outlineLevel="0" collapsed="false">
      <c r="A52" s="9" t="n">
        <v>51</v>
      </c>
      <c r="B52" s="9" t="s">
        <v>320</v>
      </c>
      <c r="C52" s="15" t="s">
        <v>83</v>
      </c>
      <c r="D52" s="9" t="s">
        <v>131</v>
      </c>
      <c r="E52" s="11" t="s">
        <v>333</v>
      </c>
      <c r="F52" s="11" t="s">
        <v>334</v>
      </c>
      <c r="G52" s="12" t="s">
        <v>193</v>
      </c>
      <c r="H52" s="9" t="s">
        <v>194</v>
      </c>
      <c r="I52" s="9" t="n">
        <f aca="false">COUNTIF(Keywords!$K$2:$K$140,E52)</f>
        <v>0</v>
      </c>
      <c r="J52" s="12" t="n">
        <f aca="false">SUMIFS(Keywords!$D$2:$D$140,Keywords!$K$2:$K$140,E52,Keywords!$H$2:$H$140,"&lt;&gt;P4 - Optional")</f>
        <v>0</v>
      </c>
      <c r="K52" s="9" t="str">
        <f aca="false">IFERROR(ROUND(AVERAGEIFS(Keywords!$E$2:$E$140,Keywords!$K$2:$K$140,E52,Keywords!$H$2:$H$140,"&lt;&gt;P4 - Optional"),1),"n/a")</f>
        <v>n/a</v>
      </c>
      <c r="L52" s="13" t="str">
        <f aca="false">IFERROR(ROUND(AVERAGEIFS(Keywords!$F$2:$F$140,Keywords!$K$2:$K$140,E52,Keywords!$H$2:$H$140,"&lt;&gt;P4 - Optional"),2),"n/a")</f>
        <v>n/a</v>
      </c>
      <c r="M52" s="17" t="s">
        <v>183</v>
      </c>
      <c r="N52" s="11" t="s">
        <v>335</v>
      </c>
      <c r="O52" s="9" t="n">
        <f aca="false">LEN(N52)</f>
        <v>52</v>
      </c>
      <c r="P52" s="11" t="s">
        <v>336</v>
      </c>
      <c r="Q52" s="9" t="s">
        <v>137</v>
      </c>
      <c r="R52" s="11" t="s">
        <v>129</v>
      </c>
      <c r="S52" s="9" t="s">
        <v>66</v>
      </c>
      <c r="T52" s="11" t="s">
        <v>303</v>
      </c>
    </row>
    <row r="53" customFormat="false" ht="23.85" hidden="false" customHeight="false" outlineLevel="0" collapsed="false">
      <c r="A53" s="9" t="n">
        <v>52</v>
      </c>
      <c r="B53" s="9" t="s">
        <v>320</v>
      </c>
      <c r="C53" s="15" t="s">
        <v>83</v>
      </c>
      <c r="D53" s="9" t="s">
        <v>131</v>
      </c>
      <c r="E53" s="11" t="s">
        <v>337</v>
      </c>
      <c r="F53" s="11" t="s">
        <v>338</v>
      </c>
      <c r="G53" s="12" t="s">
        <v>193</v>
      </c>
      <c r="H53" s="9" t="s">
        <v>194</v>
      </c>
      <c r="I53" s="9" t="n">
        <f aca="false">COUNTIF(Keywords!$K$2:$K$140,E53)</f>
        <v>0</v>
      </c>
      <c r="J53" s="12" t="n">
        <f aca="false">SUMIFS(Keywords!$D$2:$D$140,Keywords!$K$2:$K$140,E53,Keywords!$H$2:$H$140,"&lt;&gt;P4 - Optional")</f>
        <v>0</v>
      </c>
      <c r="K53" s="9" t="str">
        <f aca="false">IFERROR(ROUND(AVERAGEIFS(Keywords!$E$2:$E$140,Keywords!$K$2:$K$140,E53,Keywords!$H$2:$H$140,"&lt;&gt;P4 - Optional"),1),"n/a")</f>
        <v>n/a</v>
      </c>
      <c r="L53" s="13" t="str">
        <f aca="false">IFERROR(ROUND(AVERAGEIFS(Keywords!$F$2:$F$140,Keywords!$K$2:$K$140,E53,Keywords!$H$2:$H$140,"&lt;&gt;P4 - Optional"),2),"n/a")</f>
        <v>n/a</v>
      </c>
      <c r="M53" s="17" t="s">
        <v>183</v>
      </c>
      <c r="N53" s="11" t="s">
        <v>339</v>
      </c>
      <c r="O53" s="9" t="n">
        <f aca="false">LEN(N53)</f>
        <v>58</v>
      </c>
      <c r="P53" s="11" t="s">
        <v>340</v>
      </c>
      <c r="Q53" s="9" t="s">
        <v>137</v>
      </c>
      <c r="R53" s="11" t="s">
        <v>129</v>
      </c>
      <c r="S53" s="9" t="s">
        <v>66</v>
      </c>
      <c r="T53" s="11" t="s">
        <v>303</v>
      </c>
    </row>
    <row r="54" customFormat="false" ht="23.85" hidden="false" customHeight="false" outlineLevel="0" collapsed="false">
      <c r="A54" s="9" t="n">
        <v>53</v>
      </c>
      <c r="B54" s="9" t="s">
        <v>320</v>
      </c>
      <c r="C54" s="15" t="s">
        <v>83</v>
      </c>
      <c r="D54" s="9" t="s">
        <v>131</v>
      </c>
      <c r="E54" s="11" t="s">
        <v>341</v>
      </c>
      <c r="F54" s="11" t="s">
        <v>342</v>
      </c>
      <c r="G54" s="12" t="s">
        <v>193</v>
      </c>
      <c r="H54" s="9" t="s">
        <v>194</v>
      </c>
      <c r="I54" s="9" t="n">
        <f aca="false">COUNTIF(Keywords!$K$2:$K$140,E54)</f>
        <v>0</v>
      </c>
      <c r="J54" s="12" t="n">
        <f aca="false">SUMIFS(Keywords!$D$2:$D$140,Keywords!$K$2:$K$140,E54,Keywords!$H$2:$H$140,"&lt;&gt;P4 - Optional")</f>
        <v>0</v>
      </c>
      <c r="K54" s="9" t="str">
        <f aca="false">IFERROR(ROUND(AVERAGEIFS(Keywords!$E$2:$E$140,Keywords!$K$2:$K$140,E54,Keywords!$H$2:$H$140,"&lt;&gt;P4 - Optional"),1),"n/a")</f>
        <v>n/a</v>
      </c>
      <c r="L54" s="13" t="str">
        <f aca="false">IFERROR(ROUND(AVERAGEIFS(Keywords!$F$2:$F$140,Keywords!$K$2:$K$140,E54,Keywords!$H$2:$H$140,"&lt;&gt;P4 - Optional"),2),"n/a")</f>
        <v>n/a</v>
      </c>
      <c r="M54" s="17" t="s">
        <v>183</v>
      </c>
      <c r="N54" s="11" t="s">
        <v>343</v>
      </c>
      <c r="O54" s="9" t="n">
        <f aca="false">LEN(N54)</f>
        <v>56</v>
      </c>
      <c r="P54" s="11" t="s">
        <v>344</v>
      </c>
      <c r="Q54" s="9" t="s">
        <v>137</v>
      </c>
      <c r="R54" s="11" t="s">
        <v>129</v>
      </c>
      <c r="S54" s="9" t="s">
        <v>66</v>
      </c>
      <c r="T54" s="11" t="s">
        <v>303</v>
      </c>
    </row>
    <row r="55" customFormat="false" ht="23.85" hidden="false" customHeight="false" outlineLevel="0" collapsed="false">
      <c r="A55" s="9" t="n">
        <v>54</v>
      </c>
      <c r="B55" s="9" t="s">
        <v>320</v>
      </c>
      <c r="C55" s="15" t="s">
        <v>83</v>
      </c>
      <c r="D55" s="9" t="s">
        <v>131</v>
      </c>
      <c r="E55" s="11" t="s">
        <v>345</v>
      </c>
      <c r="F55" s="11" t="s">
        <v>346</v>
      </c>
      <c r="G55" s="12" t="s">
        <v>193</v>
      </c>
      <c r="H55" s="9" t="s">
        <v>194</v>
      </c>
      <c r="I55" s="9" t="n">
        <f aca="false">COUNTIF(Keywords!$K$2:$K$140,E55)</f>
        <v>0</v>
      </c>
      <c r="J55" s="12" t="n">
        <f aca="false">SUMIFS(Keywords!$D$2:$D$140,Keywords!$K$2:$K$140,E55,Keywords!$H$2:$H$140,"&lt;&gt;P4 - Optional")</f>
        <v>0</v>
      </c>
      <c r="K55" s="9" t="str">
        <f aca="false">IFERROR(ROUND(AVERAGEIFS(Keywords!$E$2:$E$140,Keywords!$K$2:$K$140,E55,Keywords!$H$2:$H$140,"&lt;&gt;P4 - Optional"),1),"n/a")</f>
        <v>n/a</v>
      </c>
      <c r="L55" s="13" t="str">
        <f aca="false">IFERROR(ROUND(AVERAGEIFS(Keywords!$F$2:$F$140,Keywords!$K$2:$K$140,E55,Keywords!$H$2:$H$140,"&lt;&gt;P4 - Optional"),2),"n/a")</f>
        <v>n/a</v>
      </c>
      <c r="M55" s="17" t="s">
        <v>183</v>
      </c>
      <c r="N55" s="11" t="s">
        <v>347</v>
      </c>
      <c r="O55" s="9" t="n">
        <f aca="false">LEN(N55)</f>
        <v>60</v>
      </c>
      <c r="P55" s="11" t="s">
        <v>348</v>
      </c>
      <c r="Q55" s="9" t="s">
        <v>137</v>
      </c>
      <c r="R55" s="11" t="s">
        <v>129</v>
      </c>
      <c r="S55" s="9" t="s">
        <v>66</v>
      </c>
      <c r="T55" s="11" t="s">
        <v>303</v>
      </c>
    </row>
    <row r="56" customFormat="false" ht="23.85" hidden="false" customHeight="false" outlineLevel="0" collapsed="false">
      <c r="A56" s="9" t="n">
        <v>55</v>
      </c>
      <c r="B56" s="9" t="s">
        <v>320</v>
      </c>
      <c r="C56" s="15" t="s">
        <v>83</v>
      </c>
      <c r="D56" s="9" t="s">
        <v>131</v>
      </c>
      <c r="E56" s="11" t="s">
        <v>349</v>
      </c>
      <c r="F56" s="11" t="s">
        <v>350</v>
      </c>
      <c r="G56" s="12" t="s">
        <v>193</v>
      </c>
      <c r="H56" s="9" t="s">
        <v>194</v>
      </c>
      <c r="I56" s="9" t="n">
        <f aca="false">COUNTIF(Keywords!$K$2:$K$140,E56)</f>
        <v>0</v>
      </c>
      <c r="J56" s="12" t="n">
        <f aca="false">SUMIFS(Keywords!$D$2:$D$140,Keywords!$K$2:$K$140,E56,Keywords!$H$2:$H$140,"&lt;&gt;P4 - Optional")</f>
        <v>0</v>
      </c>
      <c r="K56" s="9" t="str">
        <f aca="false">IFERROR(ROUND(AVERAGEIFS(Keywords!$E$2:$E$140,Keywords!$K$2:$K$140,E56,Keywords!$H$2:$H$140,"&lt;&gt;P4 - Optional"),1),"n/a")</f>
        <v>n/a</v>
      </c>
      <c r="L56" s="13" t="str">
        <f aca="false">IFERROR(ROUND(AVERAGEIFS(Keywords!$F$2:$F$140,Keywords!$K$2:$K$140,E56,Keywords!$H$2:$H$140,"&lt;&gt;P4 - Optional"),2),"n/a")</f>
        <v>n/a</v>
      </c>
      <c r="M56" s="17" t="s">
        <v>183</v>
      </c>
      <c r="N56" s="11" t="s">
        <v>351</v>
      </c>
      <c r="O56" s="9" t="n">
        <f aca="false">LEN(N56)</f>
        <v>51</v>
      </c>
      <c r="P56" s="11" t="s">
        <v>352</v>
      </c>
      <c r="Q56" s="9" t="s">
        <v>137</v>
      </c>
      <c r="R56" s="11" t="s">
        <v>129</v>
      </c>
      <c r="S56" s="9" t="s">
        <v>66</v>
      </c>
      <c r="T56" s="11" t="s">
        <v>303</v>
      </c>
    </row>
    <row r="57" customFormat="false" ht="23.85" hidden="false" customHeight="false" outlineLevel="0" collapsed="false">
      <c r="A57" s="9" t="n">
        <v>56</v>
      </c>
      <c r="B57" s="9" t="s">
        <v>320</v>
      </c>
      <c r="C57" s="15" t="s">
        <v>83</v>
      </c>
      <c r="D57" s="9" t="s">
        <v>131</v>
      </c>
      <c r="E57" s="11" t="s">
        <v>353</v>
      </c>
      <c r="F57" s="11" t="s">
        <v>354</v>
      </c>
      <c r="G57" s="12" t="s">
        <v>193</v>
      </c>
      <c r="H57" s="9" t="s">
        <v>194</v>
      </c>
      <c r="I57" s="9" t="n">
        <f aca="false">COUNTIF(Keywords!$K$2:$K$140,E57)</f>
        <v>0</v>
      </c>
      <c r="J57" s="12" t="n">
        <f aca="false">SUMIFS(Keywords!$D$2:$D$140,Keywords!$K$2:$K$140,E57,Keywords!$H$2:$H$140,"&lt;&gt;P4 - Optional")</f>
        <v>0</v>
      </c>
      <c r="K57" s="9" t="str">
        <f aca="false">IFERROR(ROUND(AVERAGEIFS(Keywords!$E$2:$E$140,Keywords!$K$2:$K$140,E57,Keywords!$H$2:$H$140,"&lt;&gt;P4 - Optional"),1),"n/a")</f>
        <v>n/a</v>
      </c>
      <c r="L57" s="13" t="str">
        <f aca="false">IFERROR(ROUND(AVERAGEIFS(Keywords!$F$2:$F$140,Keywords!$K$2:$K$140,E57,Keywords!$H$2:$H$140,"&lt;&gt;P4 - Optional"),2),"n/a")</f>
        <v>n/a</v>
      </c>
      <c r="M57" s="17" t="s">
        <v>183</v>
      </c>
      <c r="N57" s="11" t="s">
        <v>355</v>
      </c>
      <c r="O57" s="9" t="n">
        <f aca="false">LEN(N57)</f>
        <v>54</v>
      </c>
      <c r="P57" s="11" t="s">
        <v>356</v>
      </c>
      <c r="Q57" s="9" t="s">
        <v>137</v>
      </c>
      <c r="R57" s="11" t="s">
        <v>129</v>
      </c>
      <c r="S57" s="9" t="s">
        <v>66</v>
      </c>
      <c r="T57" s="11" t="s">
        <v>303</v>
      </c>
    </row>
    <row r="58" customFormat="false" ht="35.05" hidden="false" customHeight="false" outlineLevel="0" collapsed="false">
      <c r="A58" s="9" t="n">
        <v>57</v>
      </c>
      <c r="B58" s="9" t="s">
        <v>357</v>
      </c>
      <c r="C58" s="15" t="s">
        <v>83</v>
      </c>
      <c r="D58" s="9" t="s">
        <v>131</v>
      </c>
      <c r="E58" s="11" t="s">
        <v>358</v>
      </c>
      <c r="F58" s="11" t="s">
        <v>359</v>
      </c>
      <c r="G58" s="12" t="n">
        <v>90</v>
      </c>
      <c r="H58" s="9" t="n">
        <v>8</v>
      </c>
      <c r="I58" s="9" t="n">
        <f aca="false">COUNTIF(Keywords!$K$2:$K$140,E58)</f>
        <v>3</v>
      </c>
      <c r="J58" s="12" t="n">
        <f aca="false">SUMIFS(Keywords!$D$2:$D$140,Keywords!$K$2:$K$140,E58,Keywords!$H$2:$H$140,"&lt;&gt;P4 - Optional")</f>
        <v>190</v>
      </c>
      <c r="K58" s="9" t="n">
        <f aca="false">IFERROR(ROUND(AVERAGEIFS(Keywords!$E$2:$E$140,Keywords!$K$2:$K$140,E58,Keywords!$H$2:$H$140,"&lt;&gt;P4 - Optional"),1),"n/a")</f>
        <v>5.7</v>
      </c>
      <c r="L58" s="13" t="n">
        <f aca="false">IFERROR(ROUND(AVERAGEIFS(Keywords!$F$2:$F$140,Keywords!$K$2:$K$140,E58,Keywords!$H$2:$H$140,"&lt;&gt;P4 - Optional"),2),"n/a")</f>
        <v>0.91</v>
      </c>
      <c r="M58" s="17" t="s">
        <v>183</v>
      </c>
      <c r="N58" s="11" t="s">
        <v>360</v>
      </c>
      <c r="O58" s="9" t="n">
        <f aca="false">LEN(N58)</f>
        <v>56</v>
      </c>
      <c r="P58" s="11" t="s">
        <v>361</v>
      </c>
      <c r="Q58" s="9" t="s">
        <v>137</v>
      </c>
      <c r="R58" s="11" t="s">
        <v>362</v>
      </c>
      <c r="S58" s="9" t="s">
        <v>91</v>
      </c>
      <c r="T58" s="11" t="s">
        <v>363</v>
      </c>
    </row>
    <row r="59" customFormat="false" ht="23.85" hidden="false" customHeight="false" outlineLevel="0" collapsed="false">
      <c r="A59" s="9" t="n">
        <v>58</v>
      </c>
      <c r="B59" s="9" t="s">
        <v>357</v>
      </c>
      <c r="C59" s="15" t="s">
        <v>83</v>
      </c>
      <c r="D59" s="9" t="s">
        <v>131</v>
      </c>
      <c r="E59" s="11" t="s">
        <v>364</v>
      </c>
      <c r="F59" s="11" t="s">
        <v>365</v>
      </c>
      <c r="G59" s="12" t="n">
        <v>50</v>
      </c>
      <c r="H59" s="9" t="n">
        <v>5</v>
      </c>
      <c r="I59" s="9" t="n">
        <f aca="false">COUNTIF(Keywords!$K$2:$K$140,E59)</f>
        <v>1</v>
      </c>
      <c r="J59" s="12" t="n">
        <f aca="false">SUMIFS(Keywords!$D$2:$D$140,Keywords!$K$2:$K$140,E59,Keywords!$H$2:$H$140,"&lt;&gt;P4 - Optional")</f>
        <v>50</v>
      </c>
      <c r="K59" s="9" t="n">
        <f aca="false">IFERROR(ROUND(AVERAGEIFS(Keywords!$E$2:$E$140,Keywords!$K$2:$K$140,E59,Keywords!$H$2:$H$140,"&lt;&gt;P4 - Optional"),1),"n/a")</f>
        <v>5</v>
      </c>
      <c r="L59" s="13" t="n">
        <f aca="false">IFERROR(ROUND(AVERAGEIFS(Keywords!$F$2:$F$140,Keywords!$K$2:$K$140,E59,Keywords!$H$2:$H$140,"&lt;&gt;P4 - Optional"),2),"n/a")</f>
        <v>1.24</v>
      </c>
      <c r="M59" s="17" t="s">
        <v>183</v>
      </c>
      <c r="N59" s="11" t="s">
        <v>366</v>
      </c>
      <c r="O59" s="9" t="n">
        <f aca="false">LEN(N59)</f>
        <v>53</v>
      </c>
      <c r="P59" s="11" t="s">
        <v>367</v>
      </c>
      <c r="Q59" s="9" t="s">
        <v>137</v>
      </c>
      <c r="R59" s="11" t="s">
        <v>129</v>
      </c>
      <c r="S59" s="9" t="s">
        <v>91</v>
      </c>
      <c r="T59" s="11" t="s">
        <v>368</v>
      </c>
    </row>
    <row r="60" customFormat="false" ht="35.05" hidden="false" customHeight="false" outlineLevel="0" collapsed="false">
      <c r="A60" s="9" t="n">
        <v>59</v>
      </c>
      <c r="B60" s="9" t="s">
        <v>357</v>
      </c>
      <c r="C60" s="15" t="s">
        <v>83</v>
      </c>
      <c r="D60" s="9" t="s">
        <v>131</v>
      </c>
      <c r="E60" s="11" t="s">
        <v>369</v>
      </c>
      <c r="F60" s="11" t="s">
        <v>370</v>
      </c>
      <c r="G60" s="12" t="n">
        <v>50</v>
      </c>
      <c r="H60" s="9" t="n">
        <v>6</v>
      </c>
      <c r="I60" s="9" t="n">
        <f aca="false">COUNTIF(Keywords!$K$2:$K$140,E60)</f>
        <v>1</v>
      </c>
      <c r="J60" s="12" t="n">
        <f aca="false">SUMIFS(Keywords!$D$2:$D$140,Keywords!$K$2:$K$140,E60,Keywords!$H$2:$H$140,"&lt;&gt;P4 - Optional")</f>
        <v>50</v>
      </c>
      <c r="K60" s="9" t="n">
        <f aca="false">IFERROR(ROUND(AVERAGEIFS(Keywords!$E$2:$E$140,Keywords!$K$2:$K$140,E60,Keywords!$H$2:$H$140,"&lt;&gt;P4 - Optional"),1),"n/a")</f>
        <v>6</v>
      </c>
      <c r="L60" s="13" t="n">
        <f aca="false">IFERROR(ROUND(AVERAGEIFS(Keywords!$F$2:$F$140,Keywords!$K$2:$K$140,E60,Keywords!$H$2:$H$140,"&lt;&gt;P4 - Optional"),2),"n/a")</f>
        <v>0</v>
      </c>
      <c r="M60" s="17" t="s">
        <v>183</v>
      </c>
      <c r="N60" s="11" t="s">
        <v>371</v>
      </c>
      <c r="O60" s="9" t="n">
        <f aca="false">LEN(N60)</f>
        <v>56</v>
      </c>
      <c r="P60" s="11" t="s">
        <v>372</v>
      </c>
      <c r="Q60" s="9" t="s">
        <v>137</v>
      </c>
      <c r="R60" s="11" t="s">
        <v>129</v>
      </c>
      <c r="S60" s="9" t="s">
        <v>91</v>
      </c>
      <c r="T60" s="11" t="s">
        <v>373</v>
      </c>
    </row>
    <row r="61" customFormat="false" ht="23.85" hidden="false" customHeight="false" outlineLevel="0" collapsed="false">
      <c r="A61" s="9" t="n">
        <v>60</v>
      </c>
      <c r="B61" s="9" t="s">
        <v>357</v>
      </c>
      <c r="C61" s="15" t="s">
        <v>83</v>
      </c>
      <c r="D61" s="9" t="s">
        <v>131</v>
      </c>
      <c r="E61" s="11" t="s">
        <v>374</v>
      </c>
      <c r="F61" s="11" t="s">
        <v>375</v>
      </c>
      <c r="G61" s="12" t="s">
        <v>193</v>
      </c>
      <c r="H61" s="9" t="s">
        <v>194</v>
      </c>
      <c r="I61" s="9" t="n">
        <f aca="false">COUNTIF(Keywords!$K$2:$K$140,E61)</f>
        <v>0</v>
      </c>
      <c r="J61" s="12" t="n">
        <f aca="false">SUMIFS(Keywords!$D$2:$D$140,Keywords!$K$2:$K$140,E61,Keywords!$H$2:$H$140,"&lt;&gt;P4 - Optional")</f>
        <v>0</v>
      </c>
      <c r="K61" s="9" t="str">
        <f aca="false">IFERROR(ROUND(AVERAGEIFS(Keywords!$E$2:$E$140,Keywords!$K$2:$K$140,E61,Keywords!$H$2:$H$140,"&lt;&gt;P4 - Optional"),1),"n/a")</f>
        <v>n/a</v>
      </c>
      <c r="L61" s="13" t="str">
        <f aca="false">IFERROR(ROUND(AVERAGEIFS(Keywords!$F$2:$F$140,Keywords!$K$2:$K$140,E61,Keywords!$H$2:$H$140,"&lt;&gt;P4 - Optional"),2),"n/a")</f>
        <v>n/a</v>
      </c>
      <c r="M61" s="17" t="s">
        <v>183</v>
      </c>
      <c r="N61" s="11" t="s">
        <v>376</v>
      </c>
      <c r="O61" s="9" t="n">
        <f aca="false">LEN(N61)</f>
        <v>53</v>
      </c>
      <c r="P61" s="11" t="s">
        <v>377</v>
      </c>
      <c r="Q61" s="9" t="s">
        <v>137</v>
      </c>
      <c r="R61" s="11" t="s">
        <v>129</v>
      </c>
      <c r="S61" s="9" t="s">
        <v>66</v>
      </c>
      <c r="T61" s="11" t="s">
        <v>303</v>
      </c>
    </row>
    <row r="62" customFormat="false" ht="35.05" hidden="false" customHeight="false" outlineLevel="0" collapsed="false">
      <c r="A62" s="9" t="n">
        <v>61</v>
      </c>
      <c r="B62" s="9" t="s">
        <v>357</v>
      </c>
      <c r="C62" s="15" t="s">
        <v>83</v>
      </c>
      <c r="D62" s="9" t="s">
        <v>378</v>
      </c>
      <c r="E62" s="11" t="s">
        <v>379</v>
      </c>
      <c r="F62" s="11" t="s">
        <v>380</v>
      </c>
      <c r="G62" s="12" t="s">
        <v>193</v>
      </c>
      <c r="H62" s="9" t="s">
        <v>194</v>
      </c>
      <c r="I62" s="9" t="n">
        <f aca="false">COUNTIF(Keywords!$K$2:$K$140,E62)</f>
        <v>0</v>
      </c>
      <c r="J62" s="12" t="n">
        <f aca="false">SUMIFS(Keywords!$D$2:$D$140,Keywords!$K$2:$K$140,E62,Keywords!$H$2:$H$140,"&lt;&gt;P4 - Optional")</f>
        <v>0</v>
      </c>
      <c r="K62" s="9" t="str">
        <f aca="false">IFERROR(ROUND(AVERAGEIFS(Keywords!$E$2:$E$140,Keywords!$K$2:$K$140,E62,Keywords!$H$2:$H$140,"&lt;&gt;P4 - Optional"),1),"n/a")</f>
        <v>n/a</v>
      </c>
      <c r="L62" s="13" t="str">
        <f aca="false">IFERROR(ROUND(AVERAGEIFS(Keywords!$F$2:$F$140,Keywords!$K$2:$K$140,E62,Keywords!$H$2:$H$140,"&lt;&gt;P4 - Optional"),2),"n/a")</f>
        <v>n/a</v>
      </c>
      <c r="M62" s="17" t="s">
        <v>183</v>
      </c>
      <c r="N62" s="11" t="s">
        <v>381</v>
      </c>
      <c r="O62" s="9" t="n">
        <f aca="false">LEN(N62)</f>
        <v>60</v>
      </c>
      <c r="P62" s="11" t="s">
        <v>382</v>
      </c>
      <c r="Q62" s="9" t="s">
        <v>221</v>
      </c>
      <c r="R62" s="11" t="s">
        <v>129</v>
      </c>
      <c r="S62" s="9" t="s">
        <v>91</v>
      </c>
      <c r="T62" s="11" t="s">
        <v>383</v>
      </c>
    </row>
    <row r="63" customFormat="false" ht="35.05" hidden="false" customHeight="false" outlineLevel="0" collapsed="false">
      <c r="A63" s="9" t="n">
        <v>62</v>
      </c>
      <c r="B63" s="9" t="s">
        <v>56</v>
      </c>
      <c r="C63" s="15" t="s">
        <v>83</v>
      </c>
      <c r="D63" s="9" t="s">
        <v>283</v>
      </c>
      <c r="E63" s="11" t="s">
        <v>384</v>
      </c>
      <c r="F63" s="11" t="s">
        <v>385</v>
      </c>
      <c r="G63" s="11"/>
      <c r="H63" s="11"/>
      <c r="I63" s="11"/>
      <c r="J63" s="11"/>
      <c r="K63" s="11"/>
      <c r="L63" s="11"/>
      <c r="M63" s="16" t="s">
        <v>134</v>
      </c>
      <c r="N63" s="11" t="s">
        <v>386</v>
      </c>
      <c r="O63" s="9" t="n">
        <f aca="false">LEN(N63)</f>
        <v>59</v>
      </c>
      <c r="P63" s="11" t="s">
        <v>387</v>
      </c>
      <c r="Q63" s="9" t="s">
        <v>388</v>
      </c>
      <c r="R63" s="11" t="s">
        <v>129</v>
      </c>
      <c r="S63" s="9" t="s">
        <v>66</v>
      </c>
      <c r="T63" s="11" t="s">
        <v>389</v>
      </c>
    </row>
    <row r="64" customFormat="false" ht="23.85" hidden="false" customHeight="false" outlineLevel="0" collapsed="false">
      <c r="A64" s="9" t="n">
        <v>63</v>
      </c>
      <c r="B64" s="9" t="s">
        <v>99</v>
      </c>
      <c r="C64" s="15" t="s">
        <v>83</v>
      </c>
      <c r="D64" s="9" t="s">
        <v>390</v>
      </c>
      <c r="E64" s="11" t="s">
        <v>391</v>
      </c>
      <c r="F64" s="11" t="s">
        <v>385</v>
      </c>
      <c r="G64" s="11"/>
      <c r="H64" s="11"/>
      <c r="I64" s="11"/>
      <c r="J64" s="11"/>
      <c r="K64" s="11"/>
      <c r="L64" s="11"/>
      <c r="M64" s="16" t="s">
        <v>134</v>
      </c>
      <c r="N64" s="11" t="s">
        <v>392</v>
      </c>
      <c r="O64" s="9" t="n">
        <f aca="false">LEN(N64)</f>
        <v>53</v>
      </c>
      <c r="P64" s="11" t="s">
        <v>393</v>
      </c>
      <c r="Q64" s="9" t="s">
        <v>388</v>
      </c>
      <c r="R64" s="11" t="s">
        <v>129</v>
      </c>
      <c r="S64" s="9" t="s">
        <v>66</v>
      </c>
      <c r="T64" s="11" t="s">
        <v>394</v>
      </c>
    </row>
    <row r="65" customFormat="false" ht="35.05" hidden="false" customHeight="false" outlineLevel="0" collapsed="false">
      <c r="A65" s="9" t="n">
        <v>64</v>
      </c>
      <c r="B65" s="9" t="s">
        <v>56</v>
      </c>
      <c r="C65" s="10" t="s">
        <v>57</v>
      </c>
      <c r="D65" s="9" t="s">
        <v>68</v>
      </c>
      <c r="E65" s="11" t="s">
        <v>395</v>
      </c>
      <c r="F65" s="11" t="s">
        <v>396</v>
      </c>
      <c r="G65" s="11"/>
      <c r="H65" s="11"/>
      <c r="I65" s="11"/>
      <c r="J65" s="11"/>
      <c r="K65" s="11"/>
      <c r="L65" s="11"/>
      <c r="M65" s="14" t="s">
        <v>61</v>
      </c>
      <c r="N65" s="11" t="s">
        <v>397</v>
      </c>
      <c r="O65" s="9" t="n">
        <f aca="false">LEN(N65)</f>
        <v>51</v>
      </c>
      <c r="P65" s="11" t="s">
        <v>398</v>
      </c>
      <c r="Q65" s="9" t="s">
        <v>388</v>
      </c>
      <c r="R65" s="11" t="s">
        <v>129</v>
      </c>
      <c r="S65" s="9" t="s">
        <v>66</v>
      </c>
      <c r="T65" s="11" t="s">
        <v>399</v>
      </c>
    </row>
    <row r="66" customFormat="false" ht="23.85" hidden="false" customHeight="false" outlineLevel="0" collapsed="false">
      <c r="A66" s="9" t="n">
        <v>65</v>
      </c>
      <c r="B66" s="9" t="s">
        <v>56</v>
      </c>
      <c r="C66" s="15" t="s">
        <v>83</v>
      </c>
      <c r="D66" s="9" t="s">
        <v>390</v>
      </c>
      <c r="E66" s="11" t="s">
        <v>400</v>
      </c>
      <c r="F66" s="11" t="s">
        <v>385</v>
      </c>
      <c r="G66" s="11"/>
      <c r="H66" s="11"/>
      <c r="I66" s="11"/>
      <c r="J66" s="11"/>
      <c r="K66" s="11"/>
      <c r="L66" s="11"/>
      <c r="M66" s="16" t="s">
        <v>134</v>
      </c>
      <c r="N66" s="11" t="s">
        <v>401</v>
      </c>
      <c r="O66" s="9" t="n">
        <f aca="false">LEN(N66)</f>
        <v>54</v>
      </c>
      <c r="P66" s="11" t="s">
        <v>402</v>
      </c>
      <c r="Q66" s="9" t="s">
        <v>388</v>
      </c>
      <c r="R66" s="11" t="s">
        <v>129</v>
      </c>
      <c r="S66" s="9" t="s">
        <v>66</v>
      </c>
      <c r="T66" s="11" t="s">
        <v>403</v>
      </c>
    </row>
    <row r="67" customFormat="false" ht="15" hidden="false" customHeight="false" outlineLevel="0" collapsed="false">
      <c r="E67" s="18" t="s">
        <v>404</v>
      </c>
      <c r="I67" s="18" t="n">
        <f aca="false">SUM(I2:I66)</f>
        <v>139</v>
      </c>
      <c r="J67" s="19" t="n">
        <f aca="false">SUM(J2:J66)</f>
        <v>27010</v>
      </c>
    </row>
  </sheetData>
  <autoFilter ref="A1:T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6"/>
    <col collapsed="false" customWidth="true" hidden="false" outlineLevel="0" max="4" min="4" style="0" width="14"/>
    <col collapsed="false" customWidth="true" hidden="false" outlineLevel="0" max="5" min="5" style="0" width="16"/>
    <col collapsed="false" customWidth="true" hidden="false" outlineLevel="0" max="6" min="6" style="0" width="18"/>
    <col collapsed="false" customWidth="true" hidden="false" outlineLevel="0" max="7" min="7" style="0" width="52"/>
    <col collapsed="false" customWidth="true" hidden="false" outlineLevel="0" max="8" min="8" style="0" width="14"/>
    <col collapsed="false" customWidth="true" hidden="false" outlineLevel="0" max="9" min="9" style="0" width="8"/>
    <col collapsed="false" customWidth="true" hidden="false" outlineLevel="0" max="11" min="10" style="0" width="14"/>
    <col collapsed="false" customWidth="true" hidden="false" outlineLevel="0" max="12" min="12" style="0" width="16"/>
    <col collapsed="false" customWidth="true" hidden="false" outlineLevel="0" max="13" min="13" style="0" width="9"/>
    <col collapsed="false" customWidth="true" hidden="false" outlineLevel="0" max="14" min="14" style="0" width="60"/>
  </cols>
  <sheetData>
    <row r="1" customFormat="false" ht="15" hidden="false" customHeight="false" outlineLevel="0" collapsed="false">
      <c r="A1" s="3" t="s">
        <v>405</v>
      </c>
    </row>
    <row r="2" customFormat="false" ht="15" hidden="false" customHeight="false" outlineLevel="0" collapsed="false">
      <c r="A2" s="18" t="s">
        <v>406</v>
      </c>
    </row>
    <row r="3" customFormat="false" ht="27.75" hidden="false" customHeight="true" outlineLevel="0" collapsed="false">
      <c r="A3" s="7" t="s">
        <v>407</v>
      </c>
      <c r="B3" s="7"/>
      <c r="C3" s="7"/>
      <c r="D3" s="7"/>
      <c r="E3" s="7"/>
      <c r="F3" s="7"/>
      <c r="G3" s="7"/>
      <c r="H3" s="7"/>
      <c r="I3" s="7"/>
      <c r="J3" s="7"/>
      <c r="K3" s="7"/>
      <c r="L3" s="7"/>
      <c r="M3" s="7"/>
      <c r="N3" s="7"/>
    </row>
    <row r="4" customFormat="false" ht="27.75" hidden="false" customHeight="true" outlineLevel="0" collapsed="false">
      <c r="A4" s="7" t="s">
        <v>408</v>
      </c>
      <c r="B4" s="7"/>
      <c r="C4" s="7"/>
      <c r="D4" s="7"/>
      <c r="E4" s="7"/>
      <c r="F4" s="7"/>
      <c r="G4" s="7"/>
      <c r="H4" s="7"/>
      <c r="I4" s="7"/>
      <c r="J4" s="7"/>
      <c r="K4" s="7"/>
      <c r="L4" s="7"/>
      <c r="M4" s="7"/>
      <c r="N4" s="7"/>
    </row>
    <row r="5" customFormat="false" ht="27.75" hidden="false" customHeight="true" outlineLevel="0" collapsed="false">
      <c r="A5" s="7" t="s">
        <v>409</v>
      </c>
      <c r="B5" s="7"/>
      <c r="C5" s="7"/>
      <c r="D5" s="7"/>
      <c r="E5" s="7"/>
      <c r="F5" s="7"/>
      <c r="G5" s="7"/>
      <c r="H5" s="7"/>
      <c r="I5" s="7"/>
      <c r="J5" s="7"/>
      <c r="K5" s="7"/>
      <c r="L5" s="7"/>
      <c r="M5" s="7"/>
      <c r="N5" s="7"/>
    </row>
    <row r="6" customFormat="false" ht="27.75" hidden="false" customHeight="true" outlineLevel="0" collapsed="false">
      <c r="A6" s="7" t="s">
        <v>410</v>
      </c>
      <c r="B6" s="7"/>
      <c r="C6" s="7"/>
      <c r="D6" s="7"/>
      <c r="E6" s="7"/>
      <c r="F6" s="7"/>
      <c r="G6" s="7"/>
      <c r="H6" s="7"/>
      <c r="I6" s="7"/>
      <c r="J6" s="7"/>
      <c r="K6" s="7"/>
      <c r="L6" s="7"/>
      <c r="M6" s="7"/>
      <c r="N6" s="7"/>
    </row>
    <row r="7" customFormat="false" ht="27.75" hidden="false" customHeight="true" outlineLevel="0" collapsed="false">
      <c r="A7" s="7" t="s">
        <v>411</v>
      </c>
      <c r="B7" s="7"/>
      <c r="C7" s="7"/>
      <c r="D7" s="7"/>
      <c r="E7" s="7"/>
      <c r="F7" s="7"/>
      <c r="G7" s="7"/>
      <c r="H7" s="7"/>
      <c r="I7" s="7"/>
      <c r="J7" s="7"/>
      <c r="K7" s="7"/>
      <c r="L7" s="7"/>
      <c r="M7" s="7"/>
      <c r="N7" s="7"/>
    </row>
    <row r="9" customFormat="false" ht="31.5" hidden="false" customHeight="true" outlineLevel="0" collapsed="false">
      <c r="A9" s="8" t="s">
        <v>412</v>
      </c>
      <c r="B9" s="8" t="s">
        <v>37</v>
      </c>
      <c r="C9" s="8" t="s">
        <v>131</v>
      </c>
      <c r="D9" s="8" t="s">
        <v>413</v>
      </c>
      <c r="E9" s="8" t="s">
        <v>414</v>
      </c>
      <c r="F9" s="8" t="s">
        <v>415</v>
      </c>
      <c r="G9" s="8" t="s">
        <v>40</v>
      </c>
      <c r="H9" s="8" t="s">
        <v>416</v>
      </c>
      <c r="I9" s="8" t="s">
        <v>417</v>
      </c>
      <c r="J9" s="8" t="s">
        <v>418</v>
      </c>
      <c r="K9" s="8" t="s">
        <v>419</v>
      </c>
      <c r="L9" s="8" t="s">
        <v>420</v>
      </c>
      <c r="M9" s="8" t="s">
        <v>48</v>
      </c>
      <c r="N9" s="8" t="s">
        <v>421</v>
      </c>
    </row>
    <row r="10" customFormat="false" ht="23.85" hidden="false" customHeight="false" outlineLevel="0" collapsed="false">
      <c r="A10" s="9" t="s">
        <v>422</v>
      </c>
      <c r="B10" s="9" t="s">
        <v>99</v>
      </c>
      <c r="C10" s="11" t="s">
        <v>423</v>
      </c>
      <c r="D10" s="9" t="s">
        <v>424</v>
      </c>
      <c r="E10" s="11" t="s">
        <v>425</v>
      </c>
      <c r="F10" s="9" t="s">
        <v>426</v>
      </c>
      <c r="G10" s="11" t="s">
        <v>132</v>
      </c>
      <c r="H10" s="9" t="n">
        <v>280</v>
      </c>
      <c r="I10" s="9" t="n">
        <v>6</v>
      </c>
      <c r="J10" s="9" t="s">
        <v>427</v>
      </c>
      <c r="K10" s="9" t="s">
        <v>427</v>
      </c>
      <c r="L10" s="9" t="n">
        <v>14</v>
      </c>
      <c r="M10" s="16" t="s">
        <v>134</v>
      </c>
      <c r="N10" s="11" t="s">
        <v>428</v>
      </c>
    </row>
    <row r="11" customFormat="false" ht="23.85" hidden="false" customHeight="false" outlineLevel="0" collapsed="false">
      <c r="A11" s="9" t="s">
        <v>422</v>
      </c>
      <c r="B11" s="9" t="s">
        <v>99</v>
      </c>
      <c r="C11" s="11" t="s">
        <v>429</v>
      </c>
      <c r="D11" s="9" t="s">
        <v>430</v>
      </c>
      <c r="E11" s="11" t="s">
        <v>425</v>
      </c>
      <c r="F11" s="9" t="s">
        <v>426</v>
      </c>
      <c r="G11" s="11" t="s">
        <v>140</v>
      </c>
      <c r="H11" s="9" t="n">
        <v>170</v>
      </c>
      <c r="I11" s="9" t="n">
        <v>5</v>
      </c>
      <c r="J11" s="9" t="s">
        <v>427</v>
      </c>
      <c r="K11" s="9" t="s">
        <v>427</v>
      </c>
      <c r="L11" s="9" t="n">
        <v>0</v>
      </c>
      <c r="M11" s="16" t="s">
        <v>134</v>
      </c>
      <c r="N11" s="11" t="s">
        <v>428</v>
      </c>
    </row>
    <row r="12" customFormat="false" ht="23.85" hidden="false" customHeight="false" outlineLevel="0" collapsed="false">
      <c r="A12" s="9" t="s">
        <v>422</v>
      </c>
      <c r="B12" s="9" t="s">
        <v>99</v>
      </c>
      <c r="C12" s="11" t="s">
        <v>431</v>
      </c>
      <c r="D12" s="9" t="s">
        <v>432</v>
      </c>
      <c r="E12" s="11" t="s">
        <v>433</v>
      </c>
      <c r="F12" s="9" t="s">
        <v>426</v>
      </c>
      <c r="G12" s="11" t="s">
        <v>144</v>
      </c>
      <c r="H12" s="9" t="n">
        <v>140</v>
      </c>
      <c r="I12" s="9" t="n">
        <v>5</v>
      </c>
      <c r="J12" s="9" t="s">
        <v>427</v>
      </c>
      <c r="K12" s="9" t="s">
        <v>427</v>
      </c>
      <c r="L12" s="9" t="n">
        <v>6</v>
      </c>
      <c r="M12" s="16" t="s">
        <v>134</v>
      </c>
      <c r="N12" s="11" t="s">
        <v>428</v>
      </c>
    </row>
    <row r="13" customFormat="false" ht="23.85" hidden="false" customHeight="false" outlineLevel="0" collapsed="false">
      <c r="A13" s="9" t="s">
        <v>422</v>
      </c>
      <c r="B13" s="9" t="s">
        <v>99</v>
      </c>
      <c r="C13" s="11" t="s">
        <v>434</v>
      </c>
      <c r="D13" s="9" t="s">
        <v>435</v>
      </c>
      <c r="E13" s="11" t="s">
        <v>436</v>
      </c>
      <c r="F13" s="9" t="s">
        <v>426</v>
      </c>
      <c r="G13" s="11" t="s">
        <v>148</v>
      </c>
      <c r="H13" s="9" t="n">
        <v>140</v>
      </c>
      <c r="I13" s="9" t="n">
        <v>4</v>
      </c>
      <c r="J13" s="9" t="s">
        <v>427</v>
      </c>
      <c r="K13" s="9" t="s">
        <v>427</v>
      </c>
      <c r="L13" s="9" t="n">
        <v>13</v>
      </c>
      <c r="M13" s="16" t="s">
        <v>134</v>
      </c>
      <c r="N13" s="11" t="s">
        <v>428</v>
      </c>
    </row>
    <row r="14" customFormat="false" ht="23.85" hidden="false" customHeight="false" outlineLevel="0" collapsed="false">
      <c r="A14" s="9" t="s">
        <v>422</v>
      </c>
      <c r="B14" s="9" t="s">
        <v>99</v>
      </c>
      <c r="C14" s="11" t="s">
        <v>437</v>
      </c>
      <c r="D14" s="9" t="s">
        <v>438</v>
      </c>
      <c r="E14" s="11" t="s">
        <v>439</v>
      </c>
      <c r="F14" s="9" t="s">
        <v>427</v>
      </c>
      <c r="G14" s="11" t="s">
        <v>153</v>
      </c>
      <c r="H14" s="9" t="n">
        <v>70</v>
      </c>
      <c r="I14" s="9" t="n">
        <v>4</v>
      </c>
      <c r="J14" s="9" t="s">
        <v>440</v>
      </c>
      <c r="K14" s="9" t="s">
        <v>427</v>
      </c>
      <c r="L14" s="9" t="n">
        <v>1</v>
      </c>
      <c r="M14" s="16" t="s">
        <v>134</v>
      </c>
      <c r="N14" s="11" t="s">
        <v>428</v>
      </c>
    </row>
    <row r="15" customFormat="false" ht="23.85" hidden="false" customHeight="false" outlineLevel="0" collapsed="false">
      <c r="A15" s="9" t="s">
        <v>422</v>
      </c>
      <c r="B15" s="9" t="s">
        <v>99</v>
      </c>
      <c r="C15" s="11" t="s">
        <v>441</v>
      </c>
      <c r="D15" s="9" t="s">
        <v>442</v>
      </c>
      <c r="E15" s="11" t="s">
        <v>439</v>
      </c>
      <c r="F15" s="9" t="s">
        <v>427</v>
      </c>
      <c r="G15" s="11" t="s">
        <v>158</v>
      </c>
      <c r="H15" s="9" t="n">
        <v>50</v>
      </c>
      <c r="I15" s="9" t="n">
        <v>4</v>
      </c>
      <c r="J15" s="9" t="s">
        <v>427</v>
      </c>
      <c r="K15" s="9" t="s">
        <v>427</v>
      </c>
      <c r="L15" s="9" t="n">
        <v>0</v>
      </c>
      <c r="M15" s="16" t="s">
        <v>134</v>
      </c>
      <c r="N15" s="11" t="s">
        <v>428</v>
      </c>
    </row>
    <row r="16" customFormat="false" ht="23.85" hidden="false" customHeight="false" outlineLevel="0" collapsed="false">
      <c r="A16" s="9" t="s">
        <v>422</v>
      </c>
      <c r="B16" s="9" t="s">
        <v>163</v>
      </c>
      <c r="C16" s="11" t="s">
        <v>443</v>
      </c>
      <c r="D16" s="9" t="s">
        <v>444</v>
      </c>
      <c r="E16" s="11" t="s">
        <v>425</v>
      </c>
      <c r="F16" s="9" t="s">
        <v>426</v>
      </c>
      <c r="G16" s="11" t="s">
        <v>187</v>
      </c>
      <c r="H16" s="9" t="n">
        <v>50</v>
      </c>
      <c r="I16" s="9" t="n">
        <v>6</v>
      </c>
      <c r="J16" s="9" t="s">
        <v>427</v>
      </c>
      <c r="K16" s="9" t="s">
        <v>427</v>
      </c>
      <c r="L16" s="9" t="n">
        <v>2</v>
      </c>
      <c r="M16" s="16" t="s">
        <v>134</v>
      </c>
      <c r="N16" s="11" t="s">
        <v>428</v>
      </c>
    </row>
    <row r="17" customFormat="false" ht="23.85" hidden="false" customHeight="false" outlineLevel="0" collapsed="false">
      <c r="A17" s="9" t="s">
        <v>422</v>
      </c>
      <c r="B17" s="9" t="s">
        <v>163</v>
      </c>
      <c r="C17" s="11" t="s">
        <v>445</v>
      </c>
      <c r="D17" s="9" t="s">
        <v>446</v>
      </c>
      <c r="E17" s="11" t="s">
        <v>425</v>
      </c>
      <c r="F17" s="9" t="s">
        <v>427</v>
      </c>
      <c r="G17" s="11" t="s">
        <v>191</v>
      </c>
      <c r="H17" s="9" t="s">
        <v>193</v>
      </c>
      <c r="I17" s="9" t="s">
        <v>194</v>
      </c>
      <c r="J17" s="9" t="s">
        <v>427</v>
      </c>
      <c r="K17" s="9" t="s">
        <v>427</v>
      </c>
      <c r="L17" s="9" t="n">
        <v>0</v>
      </c>
      <c r="M17" s="16" t="s">
        <v>134</v>
      </c>
      <c r="N17" s="11" t="s">
        <v>428</v>
      </c>
    </row>
    <row r="18" customFormat="false" ht="23.85" hidden="false" customHeight="false" outlineLevel="0" collapsed="false">
      <c r="A18" s="9" t="s">
        <v>422</v>
      </c>
      <c r="B18" s="9" t="s">
        <v>163</v>
      </c>
      <c r="C18" s="11" t="s">
        <v>447</v>
      </c>
      <c r="D18" s="9" t="s">
        <v>448</v>
      </c>
      <c r="E18" s="11" t="s">
        <v>425</v>
      </c>
      <c r="F18" s="9" t="s">
        <v>427</v>
      </c>
      <c r="G18" s="11" t="s">
        <v>197</v>
      </c>
      <c r="H18" s="9" t="s">
        <v>193</v>
      </c>
      <c r="I18" s="9" t="s">
        <v>194</v>
      </c>
      <c r="J18" s="9" t="s">
        <v>440</v>
      </c>
      <c r="K18" s="9" t="s">
        <v>427</v>
      </c>
      <c r="L18" s="9" t="n">
        <v>0</v>
      </c>
      <c r="M18" s="16" t="s">
        <v>134</v>
      </c>
      <c r="N18" s="11" t="s">
        <v>428</v>
      </c>
    </row>
    <row r="19" customFormat="false" ht="23.85" hidden="false" customHeight="false" outlineLevel="0" collapsed="false">
      <c r="A19" s="9" t="s">
        <v>422</v>
      </c>
      <c r="B19" s="9" t="s">
        <v>163</v>
      </c>
      <c r="C19" s="11" t="s">
        <v>449</v>
      </c>
      <c r="D19" s="9" t="s">
        <v>450</v>
      </c>
      <c r="E19" s="11" t="s">
        <v>439</v>
      </c>
      <c r="F19" s="9" t="s">
        <v>427</v>
      </c>
      <c r="G19" s="11" t="s">
        <v>201</v>
      </c>
      <c r="H19" s="9" t="s">
        <v>193</v>
      </c>
      <c r="I19" s="9" t="s">
        <v>194</v>
      </c>
      <c r="J19" s="9" t="s">
        <v>440</v>
      </c>
      <c r="K19" s="9" t="s">
        <v>427</v>
      </c>
      <c r="L19" s="9" t="n">
        <v>0</v>
      </c>
      <c r="M19" s="16" t="s">
        <v>134</v>
      </c>
      <c r="N19" s="11" t="s">
        <v>428</v>
      </c>
    </row>
    <row r="20" customFormat="false" ht="23.85" hidden="false" customHeight="false" outlineLevel="0" collapsed="false">
      <c r="A20" s="9" t="s">
        <v>422</v>
      </c>
      <c r="B20" s="9" t="s">
        <v>163</v>
      </c>
      <c r="C20" s="11" t="s">
        <v>451</v>
      </c>
      <c r="D20" s="9" t="s">
        <v>452</v>
      </c>
      <c r="E20" s="11" t="s">
        <v>453</v>
      </c>
      <c r="F20" s="9" t="s">
        <v>427</v>
      </c>
      <c r="G20" s="11" t="s">
        <v>205</v>
      </c>
      <c r="H20" s="9" t="s">
        <v>193</v>
      </c>
      <c r="I20" s="9" t="s">
        <v>194</v>
      </c>
      <c r="J20" s="9" t="s">
        <v>440</v>
      </c>
      <c r="K20" s="9" t="s">
        <v>427</v>
      </c>
      <c r="L20" s="9" t="n">
        <v>0</v>
      </c>
      <c r="M20" s="16" t="s">
        <v>134</v>
      </c>
      <c r="N20" s="11" t="s">
        <v>428</v>
      </c>
    </row>
    <row r="21" customFormat="false" ht="23.85" hidden="false" customHeight="false" outlineLevel="0" collapsed="false">
      <c r="A21" s="9" t="s">
        <v>454</v>
      </c>
      <c r="B21" s="9" t="s">
        <v>163</v>
      </c>
      <c r="C21" s="11" t="s">
        <v>455</v>
      </c>
      <c r="D21" s="9" t="s">
        <v>456</v>
      </c>
      <c r="E21" s="11" t="s">
        <v>457</v>
      </c>
      <c r="F21" s="9" t="s">
        <v>426</v>
      </c>
      <c r="G21" s="11" t="s">
        <v>181</v>
      </c>
      <c r="H21" s="9" t="n">
        <v>90</v>
      </c>
      <c r="I21" s="9" t="n">
        <v>6</v>
      </c>
      <c r="J21" s="9" t="s">
        <v>427</v>
      </c>
      <c r="K21" s="9" t="s">
        <v>427</v>
      </c>
      <c r="L21" s="9" t="n">
        <v>5</v>
      </c>
      <c r="M21" s="17" t="s">
        <v>183</v>
      </c>
      <c r="N21" s="11" t="s">
        <v>458</v>
      </c>
    </row>
    <row r="22" customFormat="false" ht="23.85" hidden="false" customHeight="false" outlineLevel="0" collapsed="false">
      <c r="A22" s="9" t="s">
        <v>454</v>
      </c>
      <c r="B22" s="9" t="s">
        <v>209</v>
      </c>
      <c r="C22" s="11" t="s">
        <v>459</v>
      </c>
      <c r="D22" s="9" t="s">
        <v>460</v>
      </c>
      <c r="E22" s="11" t="s">
        <v>425</v>
      </c>
      <c r="F22" s="9" t="s">
        <v>427</v>
      </c>
      <c r="G22" s="11" t="s">
        <v>229</v>
      </c>
      <c r="H22" s="9" t="s">
        <v>193</v>
      </c>
      <c r="I22" s="9" t="s">
        <v>194</v>
      </c>
      <c r="J22" s="9" t="s">
        <v>427</v>
      </c>
      <c r="K22" s="9" t="s">
        <v>440</v>
      </c>
      <c r="L22" s="9" t="n">
        <v>0</v>
      </c>
      <c r="M22" s="17" t="s">
        <v>183</v>
      </c>
      <c r="N22" s="11" t="s">
        <v>458</v>
      </c>
    </row>
    <row r="23" customFormat="false" ht="23.85" hidden="false" customHeight="false" outlineLevel="0" collapsed="false">
      <c r="A23" s="9" t="s">
        <v>454</v>
      </c>
      <c r="B23" s="9" t="s">
        <v>209</v>
      </c>
      <c r="C23" s="11" t="s">
        <v>461</v>
      </c>
      <c r="D23" s="9" t="s">
        <v>462</v>
      </c>
      <c r="E23" s="11" t="s">
        <v>425</v>
      </c>
      <c r="F23" s="9" t="s">
        <v>427</v>
      </c>
      <c r="G23" s="11" t="s">
        <v>234</v>
      </c>
      <c r="H23" s="9" t="s">
        <v>193</v>
      </c>
      <c r="I23" s="9" t="s">
        <v>194</v>
      </c>
      <c r="J23" s="9" t="s">
        <v>427</v>
      </c>
      <c r="K23" s="9" t="s">
        <v>440</v>
      </c>
      <c r="L23" s="9" t="n">
        <v>0</v>
      </c>
      <c r="M23" s="17" t="s">
        <v>183</v>
      </c>
      <c r="N23" s="11" t="s">
        <v>458</v>
      </c>
    </row>
    <row r="24" customFormat="false" ht="23.85" hidden="false" customHeight="false" outlineLevel="0" collapsed="false">
      <c r="A24" s="9" t="s">
        <v>454</v>
      </c>
      <c r="B24" s="9" t="s">
        <v>209</v>
      </c>
      <c r="C24" s="11" t="s">
        <v>463</v>
      </c>
      <c r="D24" s="9" t="s">
        <v>464</v>
      </c>
      <c r="E24" s="11" t="s">
        <v>439</v>
      </c>
      <c r="F24" s="9" t="s">
        <v>427</v>
      </c>
      <c r="G24" s="11" t="s">
        <v>238</v>
      </c>
      <c r="H24" s="9" t="s">
        <v>193</v>
      </c>
      <c r="I24" s="9" t="s">
        <v>194</v>
      </c>
      <c r="J24" s="9" t="s">
        <v>427</v>
      </c>
      <c r="K24" s="9" t="s">
        <v>440</v>
      </c>
      <c r="L24" s="9" t="n">
        <v>0</v>
      </c>
      <c r="M24" s="17" t="s">
        <v>183</v>
      </c>
      <c r="N24" s="11" t="s">
        <v>458</v>
      </c>
    </row>
    <row r="25" customFormat="false" ht="23.85" hidden="false" customHeight="false" outlineLevel="0" collapsed="false">
      <c r="A25" s="9" t="s">
        <v>454</v>
      </c>
      <c r="B25" s="9" t="s">
        <v>209</v>
      </c>
      <c r="C25" s="11" t="s">
        <v>465</v>
      </c>
      <c r="D25" s="9" t="s">
        <v>466</v>
      </c>
      <c r="E25" s="11" t="s">
        <v>453</v>
      </c>
      <c r="F25" s="9" t="s">
        <v>427</v>
      </c>
      <c r="G25" s="11" t="s">
        <v>242</v>
      </c>
      <c r="H25" s="9" t="s">
        <v>193</v>
      </c>
      <c r="I25" s="9" t="s">
        <v>194</v>
      </c>
      <c r="J25" s="9" t="s">
        <v>440</v>
      </c>
      <c r="K25" s="9" t="s">
        <v>427</v>
      </c>
      <c r="L25" s="9" t="n">
        <v>0</v>
      </c>
      <c r="M25" s="17" t="s">
        <v>183</v>
      </c>
      <c r="N25" s="11" t="s">
        <v>458</v>
      </c>
    </row>
    <row r="26" customFormat="false" ht="23.85" hidden="false" customHeight="false" outlineLevel="0" collapsed="false">
      <c r="A26" s="9" t="s">
        <v>454</v>
      </c>
      <c r="B26" s="9" t="s">
        <v>209</v>
      </c>
      <c r="C26" s="11" t="s">
        <v>467</v>
      </c>
      <c r="D26" s="9" t="s">
        <v>452</v>
      </c>
      <c r="E26" s="11" t="s">
        <v>453</v>
      </c>
      <c r="F26" s="9" t="s">
        <v>427</v>
      </c>
      <c r="G26" s="11" t="s">
        <v>247</v>
      </c>
      <c r="H26" s="9" t="s">
        <v>193</v>
      </c>
      <c r="I26" s="9" t="s">
        <v>194</v>
      </c>
      <c r="J26" s="9" t="s">
        <v>440</v>
      </c>
      <c r="K26" s="9" t="s">
        <v>427</v>
      </c>
      <c r="L26" s="9" t="n">
        <v>0</v>
      </c>
      <c r="M26" s="17" t="s">
        <v>183</v>
      </c>
      <c r="N26" s="11" t="s">
        <v>458</v>
      </c>
    </row>
    <row r="27" customFormat="false" ht="23.85" hidden="false" customHeight="false" outlineLevel="0" collapsed="false">
      <c r="A27" s="9" t="s">
        <v>454</v>
      </c>
      <c r="B27" s="9" t="s">
        <v>209</v>
      </c>
      <c r="C27" s="11" t="s">
        <v>468</v>
      </c>
      <c r="D27" s="9" t="s">
        <v>462</v>
      </c>
      <c r="E27" s="11" t="s">
        <v>425</v>
      </c>
      <c r="F27" s="9" t="s">
        <v>427</v>
      </c>
      <c r="G27" s="11" t="s">
        <v>251</v>
      </c>
      <c r="H27" s="9" t="s">
        <v>193</v>
      </c>
      <c r="I27" s="9" t="s">
        <v>194</v>
      </c>
      <c r="J27" s="9" t="s">
        <v>440</v>
      </c>
      <c r="K27" s="9" t="s">
        <v>427</v>
      </c>
      <c r="L27" s="9" t="n">
        <v>0</v>
      </c>
      <c r="M27" s="17" t="s">
        <v>183</v>
      </c>
      <c r="N27" s="11" t="s">
        <v>458</v>
      </c>
    </row>
    <row r="28" customFormat="false" ht="23.85" hidden="false" customHeight="false" outlineLevel="0" collapsed="false">
      <c r="A28" s="9" t="s">
        <v>454</v>
      </c>
      <c r="B28" s="9" t="s">
        <v>255</v>
      </c>
      <c r="C28" s="11" t="s">
        <v>469</v>
      </c>
      <c r="D28" s="9" t="s">
        <v>470</v>
      </c>
      <c r="E28" s="11" t="s">
        <v>439</v>
      </c>
      <c r="F28" s="9" t="s">
        <v>427</v>
      </c>
      <c r="G28" s="11" t="s">
        <v>262</v>
      </c>
      <c r="H28" s="9" t="s">
        <v>193</v>
      </c>
      <c r="I28" s="9" t="s">
        <v>194</v>
      </c>
      <c r="J28" s="9" t="s">
        <v>440</v>
      </c>
      <c r="K28" s="9" t="s">
        <v>427</v>
      </c>
      <c r="L28" s="9" t="n">
        <v>0</v>
      </c>
      <c r="M28" s="17" t="s">
        <v>183</v>
      </c>
      <c r="N28" s="11" t="s">
        <v>458</v>
      </c>
    </row>
    <row r="29" customFormat="false" ht="23.85" hidden="false" customHeight="false" outlineLevel="0" collapsed="false">
      <c r="A29" s="9" t="s">
        <v>454</v>
      </c>
      <c r="B29" s="9" t="s">
        <v>255</v>
      </c>
      <c r="C29" s="11" t="s">
        <v>471</v>
      </c>
      <c r="D29" s="9" t="s">
        <v>472</v>
      </c>
      <c r="E29" s="11" t="s">
        <v>439</v>
      </c>
      <c r="F29" s="9" t="s">
        <v>427</v>
      </c>
      <c r="G29" s="11" t="s">
        <v>266</v>
      </c>
      <c r="H29" s="9" t="s">
        <v>193</v>
      </c>
      <c r="I29" s="9" t="s">
        <v>194</v>
      </c>
      <c r="J29" s="9" t="s">
        <v>440</v>
      </c>
      <c r="K29" s="9" t="s">
        <v>427</v>
      </c>
      <c r="L29" s="9" t="n">
        <v>0</v>
      </c>
      <c r="M29" s="17" t="s">
        <v>183</v>
      </c>
      <c r="N29" s="11" t="s">
        <v>458</v>
      </c>
    </row>
    <row r="30" customFormat="false" ht="23.85" hidden="false" customHeight="false" outlineLevel="0" collapsed="false">
      <c r="A30" s="9" t="s">
        <v>454</v>
      </c>
      <c r="B30" s="9" t="s">
        <v>255</v>
      </c>
      <c r="C30" s="11" t="s">
        <v>473</v>
      </c>
      <c r="D30" s="9" t="s">
        <v>442</v>
      </c>
      <c r="E30" s="11" t="s">
        <v>439</v>
      </c>
      <c r="F30" s="9" t="s">
        <v>427</v>
      </c>
      <c r="G30" s="11" t="s">
        <v>270</v>
      </c>
      <c r="H30" s="9" t="s">
        <v>193</v>
      </c>
      <c r="I30" s="9" t="s">
        <v>194</v>
      </c>
      <c r="J30" s="9" t="s">
        <v>440</v>
      </c>
      <c r="K30" s="9" t="s">
        <v>427</v>
      </c>
      <c r="L30" s="9" t="n">
        <v>0</v>
      </c>
      <c r="M30" s="17" t="s">
        <v>183</v>
      </c>
      <c r="N30" s="11" t="s">
        <v>458</v>
      </c>
    </row>
    <row r="31" customFormat="false" ht="23.85" hidden="false" customHeight="false" outlineLevel="0" collapsed="false">
      <c r="A31" s="9" t="s">
        <v>454</v>
      </c>
      <c r="B31" s="9" t="s">
        <v>255</v>
      </c>
      <c r="C31" s="11" t="s">
        <v>474</v>
      </c>
      <c r="D31" s="9" t="s">
        <v>475</v>
      </c>
      <c r="E31" s="11" t="s">
        <v>476</v>
      </c>
      <c r="F31" s="9" t="s">
        <v>427</v>
      </c>
      <c r="G31" s="11" t="s">
        <v>274</v>
      </c>
      <c r="H31" s="9" t="s">
        <v>193</v>
      </c>
      <c r="I31" s="9" t="s">
        <v>194</v>
      </c>
      <c r="J31" s="9" t="s">
        <v>440</v>
      </c>
      <c r="K31" s="9" t="s">
        <v>427</v>
      </c>
      <c r="L31" s="9" t="n">
        <v>0</v>
      </c>
      <c r="M31" s="17" t="s">
        <v>183</v>
      </c>
      <c r="N31" s="11" t="s">
        <v>458</v>
      </c>
    </row>
    <row r="32" customFormat="false" ht="23.85" hidden="false" customHeight="false" outlineLevel="0" collapsed="false">
      <c r="A32" s="9" t="s">
        <v>454</v>
      </c>
      <c r="B32" s="9" t="s">
        <v>255</v>
      </c>
      <c r="C32" s="11" t="s">
        <v>477</v>
      </c>
      <c r="D32" s="9" t="s">
        <v>475</v>
      </c>
      <c r="E32" s="11" t="s">
        <v>476</v>
      </c>
      <c r="F32" s="9" t="s">
        <v>427</v>
      </c>
      <c r="G32" s="11" t="s">
        <v>278</v>
      </c>
      <c r="H32" s="9" t="s">
        <v>193</v>
      </c>
      <c r="I32" s="9" t="s">
        <v>194</v>
      </c>
      <c r="J32" s="9" t="s">
        <v>440</v>
      </c>
      <c r="K32" s="9" t="s">
        <v>427</v>
      </c>
      <c r="L32" s="9" t="n">
        <v>0</v>
      </c>
      <c r="M32" s="17" t="s">
        <v>183</v>
      </c>
      <c r="N32" s="11" t="s">
        <v>458</v>
      </c>
    </row>
    <row r="33" customFormat="false" ht="23.85" hidden="false" customHeight="false" outlineLevel="0" collapsed="false">
      <c r="A33" s="9" t="s">
        <v>454</v>
      </c>
      <c r="B33" s="9" t="s">
        <v>282</v>
      </c>
      <c r="C33" s="11" t="s">
        <v>478</v>
      </c>
      <c r="D33" s="9" t="s">
        <v>475</v>
      </c>
      <c r="E33" s="11" t="s">
        <v>476</v>
      </c>
      <c r="F33" s="9" t="s">
        <v>427</v>
      </c>
      <c r="G33" s="11" t="s">
        <v>295</v>
      </c>
      <c r="H33" s="9" t="s">
        <v>193</v>
      </c>
      <c r="I33" s="9" t="s">
        <v>194</v>
      </c>
      <c r="J33" s="9" t="s">
        <v>440</v>
      </c>
      <c r="K33" s="9" t="s">
        <v>427</v>
      </c>
      <c r="L33" s="9" t="n">
        <v>0</v>
      </c>
      <c r="M33" s="17" t="s">
        <v>183</v>
      </c>
      <c r="N33" s="11" t="s">
        <v>458</v>
      </c>
    </row>
    <row r="34" customFormat="false" ht="23.85" hidden="false" customHeight="false" outlineLevel="0" collapsed="false">
      <c r="A34" s="9" t="s">
        <v>479</v>
      </c>
      <c r="B34" s="9" t="s">
        <v>282</v>
      </c>
      <c r="C34" s="11" t="s">
        <v>480</v>
      </c>
      <c r="D34" s="9" t="s">
        <v>466</v>
      </c>
      <c r="E34" s="11" t="s">
        <v>453</v>
      </c>
      <c r="F34" s="9" t="s">
        <v>427</v>
      </c>
      <c r="G34" s="11" t="s">
        <v>299</v>
      </c>
      <c r="H34" s="9" t="s">
        <v>193</v>
      </c>
      <c r="I34" s="9" t="s">
        <v>194</v>
      </c>
      <c r="J34" s="14" t="s">
        <v>440</v>
      </c>
      <c r="K34" s="14" t="s">
        <v>440</v>
      </c>
      <c r="L34" s="9" t="s">
        <v>129</v>
      </c>
      <c r="M34" s="17" t="s">
        <v>183</v>
      </c>
      <c r="N34" s="11" t="s">
        <v>481</v>
      </c>
    </row>
    <row r="35" customFormat="false" ht="23.85" hidden="false" customHeight="false" outlineLevel="0" collapsed="false">
      <c r="A35" s="9" t="s">
        <v>479</v>
      </c>
      <c r="B35" s="9" t="s">
        <v>282</v>
      </c>
      <c r="C35" s="11" t="s">
        <v>482</v>
      </c>
      <c r="D35" s="9" t="s">
        <v>466</v>
      </c>
      <c r="E35" s="11" t="s">
        <v>453</v>
      </c>
      <c r="F35" s="9" t="s">
        <v>427</v>
      </c>
      <c r="G35" s="11" t="s">
        <v>304</v>
      </c>
      <c r="H35" s="9" t="s">
        <v>193</v>
      </c>
      <c r="I35" s="9" t="s">
        <v>194</v>
      </c>
      <c r="J35" s="14" t="s">
        <v>440</v>
      </c>
      <c r="K35" s="14" t="s">
        <v>440</v>
      </c>
      <c r="L35" s="9" t="s">
        <v>129</v>
      </c>
      <c r="M35" s="17" t="s">
        <v>183</v>
      </c>
      <c r="N35" s="11" t="s">
        <v>481</v>
      </c>
    </row>
    <row r="36" customFormat="false" ht="23.85" hidden="false" customHeight="false" outlineLevel="0" collapsed="false">
      <c r="A36" s="9" t="s">
        <v>479</v>
      </c>
      <c r="B36" s="9" t="s">
        <v>282</v>
      </c>
      <c r="C36" s="11" t="s">
        <v>483</v>
      </c>
      <c r="D36" s="9" t="s">
        <v>452</v>
      </c>
      <c r="E36" s="11" t="s">
        <v>453</v>
      </c>
      <c r="F36" s="9" t="s">
        <v>427</v>
      </c>
      <c r="G36" s="11" t="s">
        <v>308</v>
      </c>
      <c r="H36" s="9" t="s">
        <v>193</v>
      </c>
      <c r="I36" s="9" t="s">
        <v>194</v>
      </c>
      <c r="J36" s="14" t="s">
        <v>440</v>
      </c>
      <c r="K36" s="14" t="s">
        <v>440</v>
      </c>
      <c r="L36" s="9" t="s">
        <v>129</v>
      </c>
      <c r="M36" s="17" t="s">
        <v>183</v>
      </c>
      <c r="N36" s="11" t="s">
        <v>481</v>
      </c>
    </row>
    <row r="37" customFormat="false" ht="23.85" hidden="false" customHeight="false" outlineLevel="0" collapsed="false">
      <c r="A37" s="9" t="s">
        <v>479</v>
      </c>
      <c r="B37" s="9" t="s">
        <v>282</v>
      </c>
      <c r="C37" s="11" t="s">
        <v>484</v>
      </c>
      <c r="D37" s="9" t="s">
        <v>446</v>
      </c>
      <c r="E37" s="11" t="s">
        <v>425</v>
      </c>
      <c r="F37" s="9" t="s">
        <v>427</v>
      </c>
      <c r="G37" s="11" t="s">
        <v>312</v>
      </c>
      <c r="H37" s="9" t="s">
        <v>193</v>
      </c>
      <c r="I37" s="9" t="s">
        <v>194</v>
      </c>
      <c r="J37" s="14" t="s">
        <v>440</v>
      </c>
      <c r="K37" s="14" t="s">
        <v>440</v>
      </c>
      <c r="L37" s="9" t="s">
        <v>129</v>
      </c>
      <c r="M37" s="17" t="s">
        <v>183</v>
      </c>
      <c r="N37" s="11" t="s">
        <v>481</v>
      </c>
    </row>
    <row r="38" customFormat="false" ht="23.85" hidden="false" customHeight="false" outlineLevel="0" collapsed="false">
      <c r="A38" s="9" t="s">
        <v>479</v>
      </c>
      <c r="B38" s="9" t="s">
        <v>282</v>
      </c>
      <c r="C38" s="11" t="s">
        <v>485</v>
      </c>
      <c r="D38" s="9" t="s">
        <v>448</v>
      </c>
      <c r="E38" s="11" t="s">
        <v>425</v>
      </c>
      <c r="F38" s="9" t="s">
        <v>427</v>
      </c>
      <c r="G38" s="11" t="s">
        <v>316</v>
      </c>
      <c r="H38" s="9" t="s">
        <v>193</v>
      </c>
      <c r="I38" s="9" t="s">
        <v>194</v>
      </c>
      <c r="J38" s="14" t="s">
        <v>440</v>
      </c>
      <c r="K38" s="14" t="s">
        <v>440</v>
      </c>
      <c r="L38" s="9" t="s">
        <v>129</v>
      </c>
      <c r="M38" s="17" t="s">
        <v>183</v>
      </c>
      <c r="N38" s="11" t="s">
        <v>481</v>
      </c>
    </row>
    <row r="39" customFormat="false" ht="23.85" hidden="false" customHeight="false" outlineLevel="0" collapsed="false">
      <c r="A39" s="9" t="s">
        <v>479</v>
      </c>
      <c r="B39" s="9" t="s">
        <v>320</v>
      </c>
      <c r="C39" s="11" t="s">
        <v>486</v>
      </c>
      <c r="D39" s="9" t="s">
        <v>487</v>
      </c>
      <c r="E39" s="11" t="s">
        <v>425</v>
      </c>
      <c r="F39" s="9" t="s">
        <v>427</v>
      </c>
      <c r="G39" s="11" t="s">
        <v>333</v>
      </c>
      <c r="H39" s="9" t="s">
        <v>193</v>
      </c>
      <c r="I39" s="9" t="s">
        <v>194</v>
      </c>
      <c r="J39" s="14" t="s">
        <v>440</v>
      </c>
      <c r="K39" s="14" t="s">
        <v>440</v>
      </c>
      <c r="L39" s="9" t="s">
        <v>129</v>
      </c>
      <c r="M39" s="17" t="s">
        <v>183</v>
      </c>
      <c r="N39" s="11" t="s">
        <v>481</v>
      </c>
    </row>
    <row r="40" customFormat="false" ht="23.85" hidden="false" customHeight="false" outlineLevel="0" collapsed="false">
      <c r="A40" s="9" t="s">
        <v>479</v>
      </c>
      <c r="B40" s="9" t="s">
        <v>320</v>
      </c>
      <c r="C40" s="11" t="s">
        <v>488</v>
      </c>
      <c r="D40" s="9" t="s">
        <v>450</v>
      </c>
      <c r="E40" s="11" t="s">
        <v>439</v>
      </c>
      <c r="F40" s="9" t="s">
        <v>427</v>
      </c>
      <c r="G40" s="11" t="s">
        <v>337</v>
      </c>
      <c r="H40" s="9" t="s">
        <v>193</v>
      </c>
      <c r="I40" s="9" t="s">
        <v>194</v>
      </c>
      <c r="J40" s="14" t="s">
        <v>440</v>
      </c>
      <c r="K40" s="14" t="s">
        <v>440</v>
      </c>
      <c r="L40" s="9" t="s">
        <v>129</v>
      </c>
      <c r="M40" s="17" t="s">
        <v>183</v>
      </c>
      <c r="N40" s="11" t="s">
        <v>481</v>
      </c>
    </row>
    <row r="41" customFormat="false" ht="23.85" hidden="false" customHeight="false" outlineLevel="0" collapsed="false">
      <c r="A41" s="9" t="s">
        <v>479</v>
      </c>
      <c r="B41" s="9" t="s">
        <v>320</v>
      </c>
      <c r="C41" s="11" t="s">
        <v>489</v>
      </c>
      <c r="D41" s="9" t="s">
        <v>464</v>
      </c>
      <c r="E41" s="11" t="s">
        <v>439</v>
      </c>
      <c r="F41" s="9" t="s">
        <v>427</v>
      </c>
      <c r="G41" s="11" t="s">
        <v>341</v>
      </c>
      <c r="H41" s="9" t="s">
        <v>193</v>
      </c>
      <c r="I41" s="9" t="s">
        <v>194</v>
      </c>
      <c r="J41" s="14" t="s">
        <v>440</v>
      </c>
      <c r="K41" s="14" t="s">
        <v>440</v>
      </c>
      <c r="L41" s="9" t="s">
        <v>129</v>
      </c>
      <c r="M41" s="17" t="s">
        <v>183</v>
      </c>
      <c r="N41" s="11" t="s">
        <v>481</v>
      </c>
    </row>
    <row r="42" customFormat="false" ht="23.85" hidden="false" customHeight="false" outlineLevel="0" collapsed="false">
      <c r="A42" s="9" t="s">
        <v>479</v>
      </c>
      <c r="B42" s="9" t="s">
        <v>320</v>
      </c>
      <c r="C42" s="11" t="s">
        <v>490</v>
      </c>
      <c r="D42" s="9" t="s">
        <v>438</v>
      </c>
      <c r="E42" s="11" t="s">
        <v>439</v>
      </c>
      <c r="F42" s="9" t="s">
        <v>427</v>
      </c>
      <c r="G42" s="11" t="s">
        <v>345</v>
      </c>
      <c r="H42" s="9" t="s">
        <v>193</v>
      </c>
      <c r="I42" s="9" t="s">
        <v>194</v>
      </c>
      <c r="J42" s="14" t="s">
        <v>440</v>
      </c>
      <c r="K42" s="14" t="s">
        <v>440</v>
      </c>
      <c r="L42" s="9" t="s">
        <v>129</v>
      </c>
      <c r="M42" s="17" t="s">
        <v>183</v>
      </c>
      <c r="N42" s="11" t="s">
        <v>481</v>
      </c>
    </row>
    <row r="43" customFormat="false" ht="23.85" hidden="false" customHeight="false" outlineLevel="0" collapsed="false">
      <c r="A43" s="9" t="s">
        <v>479</v>
      </c>
      <c r="B43" s="9" t="s">
        <v>320</v>
      </c>
      <c r="C43" s="11" t="s">
        <v>491</v>
      </c>
      <c r="D43" s="9" t="s">
        <v>438</v>
      </c>
      <c r="E43" s="11" t="s">
        <v>439</v>
      </c>
      <c r="F43" s="9" t="s">
        <v>427</v>
      </c>
      <c r="G43" s="11" t="s">
        <v>349</v>
      </c>
      <c r="H43" s="9" t="s">
        <v>193</v>
      </c>
      <c r="I43" s="9" t="s">
        <v>194</v>
      </c>
      <c r="J43" s="14" t="s">
        <v>440</v>
      </c>
      <c r="K43" s="14" t="s">
        <v>440</v>
      </c>
      <c r="L43" s="9" t="s">
        <v>129</v>
      </c>
      <c r="M43" s="17" t="s">
        <v>183</v>
      </c>
      <c r="N43" s="11" t="s">
        <v>481</v>
      </c>
    </row>
    <row r="44" customFormat="false" ht="23.85" hidden="false" customHeight="false" outlineLevel="0" collapsed="false">
      <c r="A44" s="9" t="s">
        <v>479</v>
      </c>
      <c r="B44" s="9" t="s">
        <v>320</v>
      </c>
      <c r="C44" s="11" t="s">
        <v>492</v>
      </c>
      <c r="D44" s="9" t="s">
        <v>493</v>
      </c>
      <c r="E44" s="11" t="s">
        <v>476</v>
      </c>
      <c r="F44" s="9" t="s">
        <v>427</v>
      </c>
      <c r="G44" s="11" t="s">
        <v>353</v>
      </c>
      <c r="H44" s="9" t="s">
        <v>193</v>
      </c>
      <c r="I44" s="9" t="s">
        <v>194</v>
      </c>
      <c r="J44" s="14" t="s">
        <v>440</v>
      </c>
      <c r="K44" s="14" t="s">
        <v>440</v>
      </c>
      <c r="L44" s="9" t="s">
        <v>129</v>
      </c>
      <c r="M44" s="17" t="s">
        <v>183</v>
      </c>
      <c r="N44" s="11" t="s">
        <v>481</v>
      </c>
    </row>
    <row r="45" customFormat="false" ht="23.85" hidden="false" customHeight="false" outlineLevel="0" collapsed="false">
      <c r="A45" s="9" t="s">
        <v>479</v>
      </c>
      <c r="B45" s="9" t="s">
        <v>357</v>
      </c>
      <c r="C45" s="11" t="s">
        <v>494</v>
      </c>
      <c r="D45" s="9" t="s">
        <v>475</v>
      </c>
      <c r="E45" s="11" t="s">
        <v>476</v>
      </c>
      <c r="F45" s="9" t="s">
        <v>427</v>
      </c>
      <c r="G45" s="11" t="s">
        <v>374</v>
      </c>
      <c r="H45" s="9" t="s">
        <v>193</v>
      </c>
      <c r="I45" s="9" t="s">
        <v>194</v>
      </c>
      <c r="J45" s="14" t="s">
        <v>440</v>
      </c>
      <c r="K45" s="14" t="s">
        <v>440</v>
      </c>
      <c r="L45" s="9" t="s">
        <v>129</v>
      </c>
      <c r="M45" s="17" t="s">
        <v>183</v>
      </c>
      <c r="N45" s="11" t="s">
        <v>481</v>
      </c>
    </row>
    <row r="46" customFormat="false" ht="23.85" hidden="false" customHeight="false" outlineLevel="0" collapsed="false">
      <c r="A46" s="9" t="s">
        <v>479</v>
      </c>
      <c r="B46" s="9" t="s">
        <v>357</v>
      </c>
      <c r="C46" s="11" t="s">
        <v>495</v>
      </c>
      <c r="D46" s="9" t="s">
        <v>496</v>
      </c>
      <c r="E46" s="11" t="s">
        <v>497</v>
      </c>
      <c r="F46" s="9" t="s">
        <v>427</v>
      </c>
      <c r="G46" s="11" t="s">
        <v>379</v>
      </c>
      <c r="H46" s="9" t="s">
        <v>193</v>
      </c>
      <c r="I46" s="9" t="s">
        <v>194</v>
      </c>
      <c r="J46" s="14" t="s">
        <v>440</v>
      </c>
      <c r="K46" s="14" t="s">
        <v>440</v>
      </c>
      <c r="L46" s="9" t="s">
        <v>129</v>
      </c>
      <c r="M46" s="17" t="s">
        <v>183</v>
      </c>
      <c r="N46" s="11" t="s">
        <v>481</v>
      </c>
    </row>
    <row r="47" customFormat="false" ht="23.85" hidden="false" customHeight="false" outlineLevel="0" collapsed="false">
      <c r="A47" s="9" t="s">
        <v>498</v>
      </c>
      <c r="B47" s="9" t="s">
        <v>357</v>
      </c>
      <c r="C47" s="11" t="s">
        <v>499</v>
      </c>
      <c r="D47" s="9" t="s">
        <v>500</v>
      </c>
      <c r="E47" s="11" t="s">
        <v>501</v>
      </c>
      <c r="F47" s="9" t="s">
        <v>426</v>
      </c>
      <c r="G47" s="11" t="s">
        <v>358</v>
      </c>
      <c r="H47" s="9" t="n">
        <v>190</v>
      </c>
      <c r="I47" s="9" t="n">
        <v>4</v>
      </c>
      <c r="J47" s="9" t="s">
        <v>427</v>
      </c>
      <c r="K47" s="9" t="s">
        <v>427</v>
      </c>
      <c r="L47" s="9" t="n">
        <v>19</v>
      </c>
      <c r="M47" s="17" t="s">
        <v>183</v>
      </c>
      <c r="N47" s="11" t="s">
        <v>502</v>
      </c>
    </row>
    <row r="48" customFormat="false" ht="23.85" hidden="false" customHeight="false" outlineLevel="0" collapsed="false">
      <c r="A48" s="9" t="s">
        <v>498</v>
      </c>
      <c r="B48" s="9" t="s">
        <v>357</v>
      </c>
      <c r="C48" s="11" t="s">
        <v>503</v>
      </c>
      <c r="D48" s="9" t="s">
        <v>504</v>
      </c>
      <c r="E48" s="11" t="s">
        <v>501</v>
      </c>
      <c r="F48" s="9" t="s">
        <v>426</v>
      </c>
      <c r="G48" s="11" t="s">
        <v>364</v>
      </c>
      <c r="H48" s="9" t="n">
        <v>50</v>
      </c>
      <c r="I48" s="9" t="n">
        <v>5</v>
      </c>
      <c r="J48" s="9" t="s">
        <v>440</v>
      </c>
      <c r="K48" s="9" t="s">
        <v>427</v>
      </c>
      <c r="L48" s="9" t="n">
        <v>0</v>
      </c>
      <c r="M48" s="17" t="s">
        <v>183</v>
      </c>
      <c r="N48" s="11" t="s">
        <v>502</v>
      </c>
    </row>
    <row r="49" customFormat="false" ht="23.85" hidden="false" customHeight="false" outlineLevel="0" collapsed="false">
      <c r="A49" s="9" t="s">
        <v>498</v>
      </c>
      <c r="B49" s="9" t="s">
        <v>357</v>
      </c>
      <c r="C49" s="11" t="s">
        <v>505</v>
      </c>
      <c r="D49" s="9" t="s">
        <v>506</v>
      </c>
      <c r="E49" s="11" t="s">
        <v>425</v>
      </c>
      <c r="F49" s="9" t="s">
        <v>426</v>
      </c>
      <c r="G49" s="11" t="s">
        <v>369</v>
      </c>
      <c r="H49" s="9" t="n">
        <v>50</v>
      </c>
      <c r="I49" s="9" t="n">
        <v>6</v>
      </c>
      <c r="J49" s="14" t="s">
        <v>440</v>
      </c>
      <c r="K49" s="14" t="s">
        <v>440</v>
      </c>
      <c r="L49" s="9" t="s">
        <v>129</v>
      </c>
      <c r="M49" s="17" t="s">
        <v>183</v>
      </c>
      <c r="N49" s="11" t="s">
        <v>502</v>
      </c>
    </row>
    <row r="51" customFormat="false" ht="15" hidden="false" customHeight="false" outlineLevel="0" collapsed="false">
      <c r="A51" s="20" t="s">
        <v>507</v>
      </c>
    </row>
  </sheetData>
  <autoFilter ref="A9:N49"/>
  <mergeCells count="5">
    <mergeCell ref="A3:N3"/>
    <mergeCell ref="A4:N4"/>
    <mergeCell ref="A5:N5"/>
    <mergeCell ref="A6:N6"/>
    <mergeCell ref="A7:N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24"/>
    <col collapsed="false" customWidth="true" hidden="false" outlineLevel="0" max="4" min="4" style="0" width="12"/>
    <col collapsed="false" customWidth="true" hidden="false" outlineLevel="0" max="5" min="5" style="0" width="8"/>
    <col collapsed="false" customWidth="true" hidden="false" outlineLevel="0" max="6" min="6" style="0" width="10"/>
    <col collapsed="false" customWidth="true" hidden="false" outlineLevel="0" max="7" min="7" style="0" width="13"/>
    <col collapsed="false" customWidth="true" hidden="false" outlineLevel="0" max="8" min="8" style="0" width="12"/>
    <col collapsed="false" customWidth="true" hidden="false" outlineLevel="0" max="9" min="9" style="0" width="26"/>
    <col collapsed="false" customWidth="true" hidden="false" outlineLevel="0" max="10" min="10" style="0" width="15"/>
    <col collapsed="false" customWidth="true" hidden="false" outlineLevel="0" max="11" min="11" style="0" width="40"/>
    <col collapsed="false" customWidth="true" hidden="false" outlineLevel="0" max="12" min="12" style="0" width="16"/>
    <col collapsed="false" customWidth="true" hidden="false" outlineLevel="0" max="13" min="13" style="0" width="11"/>
    <col collapsed="false" customWidth="true" hidden="false" outlineLevel="0" max="14" min="14" style="0" width="16"/>
    <col collapsed="false" customWidth="true" hidden="false" outlineLevel="0" max="15" min="15" style="0" width="36"/>
  </cols>
  <sheetData>
    <row r="1" customFormat="false" ht="31.5" hidden="false" customHeight="true" outlineLevel="0" collapsed="false">
      <c r="A1" s="8" t="s">
        <v>36</v>
      </c>
      <c r="B1" s="8" t="s">
        <v>508</v>
      </c>
      <c r="C1" s="8" t="s">
        <v>509</v>
      </c>
      <c r="D1" s="8" t="s">
        <v>510</v>
      </c>
      <c r="E1" s="8" t="s">
        <v>417</v>
      </c>
      <c r="F1" s="8" t="s">
        <v>511</v>
      </c>
      <c r="G1" s="8" t="s">
        <v>512</v>
      </c>
      <c r="H1" s="8" t="s">
        <v>48</v>
      </c>
      <c r="I1" s="8" t="s">
        <v>513</v>
      </c>
      <c r="J1" s="8" t="s">
        <v>514</v>
      </c>
      <c r="K1" s="8" t="s">
        <v>515</v>
      </c>
      <c r="L1" s="8" t="s">
        <v>38</v>
      </c>
      <c r="M1" s="8" t="s">
        <v>516</v>
      </c>
      <c r="N1" s="8" t="s">
        <v>54</v>
      </c>
      <c r="O1" s="8" t="s">
        <v>517</v>
      </c>
    </row>
    <row r="2" customFormat="false" ht="15" hidden="false" customHeight="false" outlineLevel="0" collapsed="false">
      <c r="A2" s="21" t="n">
        <v>1</v>
      </c>
      <c r="B2" s="22" t="s">
        <v>60</v>
      </c>
      <c r="C2" s="22" t="s">
        <v>518</v>
      </c>
      <c r="D2" s="23" t="n">
        <v>2400</v>
      </c>
      <c r="E2" s="21" t="n">
        <v>12</v>
      </c>
      <c r="F2" s="24" t="n">
        <v>2.11</v>
      </c>
      <c r="G2" s="23" t="n">
        <f aca="false">ROUND(D2*(100-E2)/100,0)</f>
        <v>2112</v>
      </c>
      <c r="H2" s="25" t="s">
        <v>61</v>
      </c>
      <c r="I2" s="11" t="s">
        <v>519</v>
      </c>
      <c r="J2" s="22" t="s">
        <v>520</v>
      </c>
      <c r="K2" s="11" t="s">
        <v>59</v>
      </c>
      <c r="L2" s="26" t="s">
        <v>521</v>
      </c>
      <c r="M2" s="27" t="s">
        <v>522</v>
      </c>
      <c r="N2" s="21" t="s">
        <v>427</v>
      </c>
      <c r="O2" s="11" t="s">
        <v>59</v>
      </c>
    </row>
    <row r="3" customFormat="false" ht="15" hidden="false" customHeight="false" outlineLevel="0" collapsed="false">
      <c r="A3" s="21" t="n">
        <v>2</v>
      </c>
      <c r="B3" s="22" t="s">
        <v>523</v>
      </c>
      <c r="C3" s="22" t="s">
        <v>524</v>
      </c>
      <c r="D3" s="23" t="n">
        <v>1600</v>
      </c>
      <c r="E3" s="21" t="n">
        <v>16</v>
      </c>
      <c r="F3" s="24" t="n">
        <v>1.98</v>
      </c>
      <c r="G3" s="23" t="n">
        <f aca="false">ROUND(D3*(100-E3)/100,0)</f>
        <v>1344</v>
      </c>
      <c r="H3" s="25" t="s">
        <v>61</v>
      </c>
      <c r="I3" s="11" t="s">
        <v>525</v>
      </c>
      <c r="J3" s="22" t="s">
        <v>520</v>
      </c>
      <c r="K3" s="11" t="s">
        <v>59</v>
      </c>
      <c r="L3" s="26" t="s">
        <v>521</v>
      </c>
      <c r="M3" s="21" t="s">
        <v>526</v>
      </c>
      <c r="N3" s="21" t="s">
        <v>91</v>
      </c>
      <c r="O3" s="11"/>
    </row>
    <row r="4" customFormat="false" ht="15" hidden="false" customHeight="false" outlineLevel="0" collapsed="false">
      <c r="A4" s="21" t="n">
        <v>3</v>
      </c>
      <c r="B4" s="22" t="s">
        <v>527</v>
      </c>
      <c r="C4" s="22" t="s">
        <v>524</v>
      </c>
      <c r="D4" s="23" t="n">
        <v>1300</v>
      </c>
      <c r="E4" s="21" t="n">
        <v>14</v>
      </c>
      <c r="F4" s="24" t="n">
        <v>1.98</v>
      </c>
      <c r="G4" s="23" t="n">
        <f aca="false">ROUND(D4*(100-E4)/100,0)</f>
        <v>1118</v>
      </c>
      <c r="H4" s="25" t="s">
        <v>61</v>
      </c>
      <c r="I4" s="11" t="s">
        <v>525</v>
      </c>
      <c r="J4" s="22" t="s">
        <v>520</v>
      </c>
      <c r="K4" s="11" t="s">
        <v>59</v>
      </c>
      <c r="L4" s="26" t="s">
        <v>521</v>
      </c>
      <c r="M4" s="21" t="s">
        <v>526</v>
      </c>
      <c r="N4" s="21" t="s">
        <v>91</v>
      </c>
      <c r="O4" s="11"/>
    </row>
    <row r="5" customFormat="false" ht="15" hidden="false" customHeight="false" outlineLevel="0" collapsed="false">
      <c r="A5" s="21" t="n">
        <v>4</v>
      </c>
      <c r="B5" s="22" t="s">
        <v>86</v>
      </c>
      <c r="C5" s="22" t="s">
        <v>518</v>
      </c>
      <c r="D5" s="23" t="n">
        <v>1000</v>
      </c>
      <c r="E5" s="21" t="n">
        <v>12</v>
      </c>
      <c r="F5" s="24" t="n">
        <v>1.46</v>
      </c>
      <c r="G5" s="23" t="n">
        <f aca="false">ROUND(D5*(100-E5)/100,0)</f>
        <v>880</v>
      </c>
      <c r="H5" s="25" t="s">
        <v>61</v>
      </c>
      <c r="I5" s="11" t="s">
        <v>528</v>
      </c>
      <c r="J5" s="22" t="s">
        <v>520</v>
      </c>
      <c r="K5" s="11" t="s">
        <v>85</v>
      </c>
      <c r="L5" s="28" t="s">
        <v>529</v>
      </c>
      <c r="M5" s="27" t="s">
        <v>522</v>
      </c>
      <c r="N5" s="21" t="s">
        <v>427</v>
      </c>
      <c r="O5" s="11" t="s">
        <v>530</v>
      </c>
    </row>
    <row r="6" customFormat="false" ht="15" hidden="false" customHeight="false" outlineLevel="0" collapsed="false">
      <c r="A6" s="21" t="n">
        <v>5</v>
      </c>
      <c r="B6" s="22" t="s">
        <v>77</v>
      </c>
      <c r="C6" s="22" t="s">
        <v>524</v>
      </c>
      <c r="D6" s="23" t="n">
        <v>720</v>
      </c>
      <c r="E6" s="21" t="n">
        <v>13</v>
      </c>
      <c r="F6" s="24" t="n">
        <v>3.22</v>
      </c>
      <c r="G6" s="23" t="n">
        <f aca="false">ROUND(D6*(100-E6)/100,0)</f>
        <v>626</v>
      </c>
      <c r="H6" s="25" t="s">
        <v>61</v>
      </c>
      <c r="I6" s="11" t="s">
        <v>531</v>
      </c>
      <c r="J6" s="22" t="s">
        <v>520</v>
      </c>
      <c r="K6" s="11" t="s">
        <v>76</v>
      </c>
      <c r="L6" s="26" t="s">
        <v>521</v>
      </c>
      <c r="M6" s="27" t="s">
        <v>522</v>
      </c>
      <c r="N6" s="21" t="s">
        <v>91</v>
      </c>
      <c r="O6" s="11"/>
    </row>
    <row r="7" customFormat="false" ht="15" hidden="false" customHeight="false" outlineLevel="0" collapsed="false">
      <c r="A7" s="21" t="n">
        <v>6</v>
      </c>
      <c r="B7" s="22" t="s">
        <v>70</v>
      </c>
      <c r="C7" s="22" t="s">
        <v>524</v>
      </c>
      <c r="D7" s="23" t="n">
        <v>720</v>
      </c>
      <c r="E7" s="21" t="n">
        <v>14</v>
      </c>
      <c r="F7" s="24" t="n">
        <v>10.31</v>
      </c>
      <c r="G7" s="23" t="n">
        <f aca="false">ROUND(D7*(100-E7)/100,0)</f>
        <v>619</v>
      </c>
      <c r="H7" s="25" t="s">
        <v>61</v>
      </c>
      <c r="I7" s="11" t="s">
        <v>532</v>
      </c>
      <c r="J7" s="22" t="s">
        <v>520</v>
      </c>
      <c r="K7" s="11" t="s">
        <v>69</v>
      </c>
      <c r="L7" s="26" t="s">
        <v>521</v>
      </c>
      <c r="M7" s="27" t="s">
        <v>522</v>
      </c>
      <c r="N7" s="21" t="s">
        <v>427</v>
      </c>
      <c r="O7" s="11" t="s">
        <v>69</v>
      </c>
    </row>
    <row r="8" customFormat="false" ht="15" hidden="false" customHeight="false" outlineLevel="0" collapsed="false">
      <c r="A8" s="21" t="n">
        <v>7</v>
      </c>
      <c r="B8" s="22" t="s">
        <v>533</v>
      </c>
      <c r="C8" s="22" t="s">
        <v>524</v>
      </c>
      <c r="D8" s="23" t="n">
        <v>720</v>
      </c>
      <c r="E8" s="21" t="n">
        <v>15</v>
      </c>
      <c r="F8" s="24" t="n">
        <v>2.47</v>
      </c>
      <c r="G8" s="23" t="n">
        <f aca="false">ROUND(D8*(100-E8)/100,0)</f>
        <v>612</v>
      </c>
      <c r="H8" s="25" t="s">
        <v>61</v>
      </c>
      <c r="I8" s="11" t="s">
        <v>531</v>
      </c>
      <c r="J8" s="22" t="s">
        <v>520</v>
      </c>
      <c r="K8" s="11" t="s">
        <v>76</v>
      </c>
      <c r="L8" s="26" t="s">
        <v>521</v>
      </c>
      <c r="M8" s="21" t="s">
        <v>526</v>
      </c>
      <c r="N8" s="21" t="s">
        <v>91</v>
      </c>
      <c r="O8" s="11"/>
    </row>
    <row r="9" customFormat="false" ht="15" hidden="false" customHeight="false" outlineLevel="0" collapsed="false">
      <c r="A9" s="21" t="n">
        <v>8</v>
      </c>
      <c r="B9" s="22" t="s">
        <v>534</v>
      </c>
      <c r="C9" s="22" t="s">
        <v>524</v>
      </c>
      <c r="D9" s="23" t="n">
        <v>590</v>
      </c>
      <c r="E9" s="21" t="n">
        <v>10</v>
      </c>
      <c r="F9" s="24" t="n">
        <v>10.78</v>
      </c>
      <c r="G9" s="23" t="n">
        <f aca="false">ROUND(D9*(100-E9)/100,0)</f>
        <v>531</v>
      </c>
      <c r="H9" s="25" t="s">
        <v>61</v>
      </c>
      <c r="I9" s="11" t="s">
        <v>532</v>
      </c>
      <c r="J9" s="22" t="s">
        <v>520</v>
      </c>
      <c r="K9" s="11" t="s">
        <v>69</v>
      </c>
      <c r="L9" s="26" t="s">
        <v>521</v>
      </c>
      <c r="M9" s="21" t="s">
        <v>526</v>
      </c>
      <c r="N9" s="21" t="s">
        <v>427</v>
      </c>
      <c r="O9" s="11" t="s">
        <v>69</v>
      </c>
    </row>
    <row r="10" customFormat="false" ht="15" hidden="false" customHeight="false" outlineLevel="0" collapsed="false">
      <c r="A10" s="21" t="n">
        <v>9</v>
      </c>
      <c r="B10" s="22" t="s">
        <v>107</v>
      </c>
      <c r="C10" s="22" t="s">
        <v>524</v>
      </c>
      <c r="D10" s="23" t="n">
        <v>590</v>
      </c>
      <c r="E10" s="21" t="n">
        <v>13</v>
      </c>
      <c r="F10" s="24" t="n">
        <v>2.38</v>
      </c>
      <c r="G10" s="23" t="n">
        <f aca="false">ROUND(D10*(100-E10)/100,0)</f>
        <v>513</v>
      </c>
      <c r="H10" s="25" t="s">
        <v>61</v>
      </c>
      <c r="I10" s="11" t="s">
        <v>528</v>
      </c>
      <c r="J10" s="22" t="s">
        <v>520</v>
      </c>
      <c r="K10" s="11" t="s">
        <v>106</v>
      </c>
      <c r="L10" s="28" t="s">
        <v>529</v>
      </c>
      <c r="M10" s="27" t="s">
        <v>522</v>
      </c>
      <c r="N10" s="21" t="s">
        <v>91</v>
      </c>
      <c r="O10" s="11"/>
    </row>
    <row r="11" customFormat="false" ht="15" hidden="false" customHeight="false" outlineLevel="0" collapsed="false">
      <c r="A11" s="21" t="n">
        <v>10</v>
      </c>
      <c r="B11" s="22" t="s">
        <v>535</v>
      </c>
      <c r="C11" s="22" t="s">
        <v>518</v>
      </c>
      <c r="D11" s="23" t="n">
        <v>590</v>
      </c>
      <c r="E11" s="21" t="n">
        <v>15</v>
      </c>
      <c r="F11" s="24" t="n">
        <v>1.48</v>
      </c>
      <c r="G11" s="23" t="n">
        <f aca="false">ROUND(D11*(100-E11)/100,0)</f>
        <v>502</v>
      </c>
      <c r="H11" s="25" t="s">
        <v>61</v>
      </c>
      <c r="I11" s="11" t="s">
        <v>528</v>
      </c>
      <c r="J11" s="22" t="s">
        <v>520</v>
      </c>
      <c r="K11" s="11" t="s">
        <v>85</v>
      </c>
      <c r="L11" s="28" t="s">
        <v>529</v>
      </c>
      <c r="M11" s="21" t="s">
        <v>526</v>
      </c>
      <c r="N11" s="21" t="s">
        <v>91</v>
      </c>
      <c r="O11" s="11"/>
    </row>
    <row r="12" customFormat="false" ht="15" hidden="false" customHeight="false" outlineLevel="0" collapsed="false">
      <c r="A12" s="21" t="n">
        <v>11</v>
      </c>
      <c r="B12" s="22" t="s">
        <v>536</v>
      </c>
      <c r="C12" s="22" t="s">
        <v>518</v>
      </c>
      <c r="D12" s="23" t="n">
        <v>590</v>
      </c>
      <c r="E12" s="21" t="n">
        <v>17</v>
      </c>
      <c r="F12" s="24" t="n">
        <v>1.48</v>
      </c>
      <c r="G12" s="23" t="n">
        <f aca="false">ROUND(D12*(100-E12)/100,0)</f>
        <v>490</v>
      </c>
      <c r="H12" s="25" t="s">
        <v>61</v>
      </c>
      <c r="I12" s="11" t="s">
        <v>528</v>
      </c>
      <c r="J12" s="22" t="s">
        <v>520</v>
      </c>
      <c r="K12" s="11" t="s">
        <v>85</v>
      </c>
      <c r="L12" s="28" t="s">
        <v>529</v>
      </c>
      <c r="M12" s="21" t="s">
        <v>526</v>
      </c>
      <c r="N12" s="21" t="s">
        <v>427</v>
      </c>
      <c r="O12" s="11" t="s">
        <v>530</v>
      </c>
    </row>
    <row r="13" customFormat="false" ht="15" hidden="false" customHeight="false" outlineLevel="0" collapsed="false">
      <c r="A13" s="21" t="n">
        <v>12</v>
      </c>
      <c r="B13" s="22" t="s">
        <v>537</v>
      </c>
      <c r="C13" s="22" t="s">
        <v>524</v>
      </c>
      <c r="D13" s="23" t="n">
        <v>590</v>
      </c>
      <c r="E13" s="21" t="n">
        <v>18</v>
      </c>
      <c r="F13" s="24" t="n">
        <v>10.78</v>
      </c>
      <c r="G13" s="23" t="n">
        <f aca="false">ROUND(D13*(100-E13)/100,0)</f>
        <v>484</v>
      </c>
      <c r="H13" s="25" t="s">
        <v>61</v>
      </c>
      <c r="I13" s="11" t="s">
        <v>532</v>
      </c>
      <c r="J13" s="22" t="s">
        <v>520</v>
      </c>
      <c r="K13" s="11" t="s">
        <v>69</v>
      </c>
      <c r="L13" s="26" t="s">
        <v>521</v>
      </c>
      <c r="M13" s="21" t="s">
        <v>526</v>
      </c>
      <c r="N13" s="21" t="s">
        <v>427</v>
      </c>
      <c r="O13" s="11" t="s">
        <v>69</v>
      </c>
    </row>
    <row r="14" customFormat="false" ht="15" hidden="false" customHeight="false" outlineLevel="0" collapsed="false">
      <c r="A14" s="21" t="n">
        <v>13</v>
      </c>
      <c r="B14" s="22" t="s">
        <v>114</v>
      </c>
      <c r="C14" s="22" t="s">
        <v>524</v>
      </c>
      <c r="D14" s="23" t="n">
        <v>480</v>
      </c>
      <c r="E14" s="21" t="n">
        <v>7</v>
      </c>
      <c r="F14" s="24" t="n">
        <v>2.26</v>
      </c>
      <c r="G14" s="23" t="n">
        <f aca="false">ROUND(D14*(100-E14)/100,0)</f>
        <v>446</v>
      </c>
      <c r="H14" s="25" t="s">
        <v>61</v>
      </c>
      <c r="I14" s="11" t="s">
        <v>538</v>
      </c>
      <c r="J14" s="22" t="s">
        <v>520</v>
      </c>
      <c r="K14" s="11" t="s">
        <v>113</v>
      </c>
      <c r="L14" s="26" t="s">
        <v>521</v>
      </c>
      <c r="M14" s="27" t="s">
        <v>522</v>
      </c>
      <c r="N14" s="21" t="s">
        <v>91</v>
      </c>
      <c r="O14" s="11"/>
    </row>
    <row r="15" customFormat="false" ht="15" hidden="false" customHeight="false" outlineLevel="0" collapsed="false">
      <c r="A15" s="21" t="n">
        <v>14</v>
      </c>
      <c r="B15" s="22" t="s">
        <v>539</v>
      </c>
      <c r="C15" s="22" t="s">
        <v>518</v>
      </c>
      <c r="D15" s="23" t="n">
        <v>480</v>
      </c>
      <c r="E15" s="21" t="n">
        <v>16</v>
      </c>
      <c r="F15" s="24" t="n">
        <v>2.33</v>
      </c>
      <c r="G15" s="23" t="n">
        <f aca="false">ROUND(D15*(100-E15)/100,0)</f>
        <v>403</v>
      </c>
      <c r="H15" s="25" t="s">
        <v>61</v>
      </c>
      <c r="I15" s="11" t="s">
        <v>519</v>
      </c>
      <c r="J15" s="22" t="s">
        <v>520</v>
      </c>
      <c r="K15" s="11" t="s">
        <v>59</v>
      </c>
      <c r="L15" s="26" t="s">
        <v>521</v>
      </c>
      <c r="M15" s="21" t="s">
        <v>526</v>
      </c>
      <c r="N15" s="21" t="s">
        <v>91</v>
      </c>
      <c r="O15" s="11"/>
    </row>
    <row r="16" customFormat="false" ht="15" hidden="false" customHeight="false" outlineLevel="0" collapsed="false">
      <c r="A16" s="21" t="n">
        <v>15</v>
      </c>
      <c r="B16" s="22" t="s">
        <v>540</v>
      </c>
      <c r="C16" s="22" t="s">
        <v>524</v>
      </c>
      <c r="D16" s="23" t="n">
        <v>480</v>
      </c>
      <c r="E16" s="21" t="n">
        <v>17</v>
      </c>
      <c r="F16" s="24" t="n">
        <v>6.91</v>
      </c>
      <c r="G16" s="23" t="n">
        <f aca="false">ROUND(D16*(100-E16)/100,0)</f>
        <v>398</v>
      </c>
      <c r="H16" s="25" t="s">
        <v>61</v>
      </c>
      <c r="I16" s="11" t="s">
        <v>532</v>
      </c>
      <c r="J16" s="22" t="s">
        <v>520</v>
      </c>
      <c r="K16" s="11" t="s">
        <v>69</v>
      </c>
      <c r="L16" s="26" t="s">
        <v>521</v>
      </c>
      <c r="M16" s="21" t="s">
        <v>526</v>
      </c>
      <c r="N16" s="21" t="s">
        <v>91</v>
      </c>
      <c r="O16" s="11"/>
    </row>
    <row r="17" customFormat="false" ht="15" hidden="false" customHeight="false" outlineLevel="0" collapsed="false">
      <c r="A17" s="21" t="n">
        <v>16</v>
      </c>
      <c r="B17" s="22" t="s">
        <v>541</v>
      </c>
      <c r="C17" s="22" t="s">
        <v>524</v>
      </c>
      <c r="D17" s="23" t="n">
        <v>480</v>
      </c>
      <c r="E17" s="21" t="n">
        <v>18</v>
      </c>
      <c r="F17" s="24" t="n">
        <v>2.47</v>
      </c>
      <c r="G17" s="23" t="n">
        <f aca="false">ROUND(D17*(100-E17)/100,0)</f>
        <v>394</v>
      </c>
      <c r="H17" s="25" t="s">
        <v>61</v>
      </c>
      <c r="I17" s="11" t="s">
        <v>531</v>
      </c>
      <c r="J17" s="22" t="s">
        <v>520</v>
      </c>
      <c r="K17" s="11" t="s">
        <v>76</v>
      </c>
      <c r="L17" s="26" t="s">
        <v>521</v>
      </c>
      <c r="M17" s="21" t="s">
        <v>526</v>
      </c>
      <c r="N17" s="21" t="s">
        <v>91</v>
      </c>
      <c r="O17" s="11"/>
    </row>
    <row r="18" customFormat="false" ht="15" hidden="false" customHeight="false" outlineLevel="0" collapsed="false">
      <c r="A18" s="21" t="n">
        <v>17</v>
      </c>
      <c r="B18" s="22" t="s">
        <v>542</v>
      </c>
      <c r="C18" s="22" t="s">
        <v>524</v>
      </c>
      <c r="D18" s="23" t="n">
        <v>390</v>
      </c>
      <c r="E18" s="21" t="n">
        <v>18</v>
      </c>
      <c r="F18" s="24" t="n">
        <v>6.45</v>
      </c>
      <c r="G18" s="23" t="n">
        <f aca="false">ROUND(D18*(100-E18)/100,0)</f>
        <v>320</v>
      </c>
      <c r="H18" s="25" t="s">
        <v>61</v>
      </c>
      <c r="I18" s="11" t="s">
        <v>532</v>
      </c>
      <c r="J18" s="22" t="s">
        <v>520</v>
      </c>
      <c r="K18" s="11" t="s">
        <v>69</v>
      </c>
      <c r="L18" s="26" t="s">
        <v>521</v>
      </c>
      <c r="M18" s="21" t="s">
        <v>526</v>
      </c>
      <c r="N18" s="21" t="s">
        <v>91</v>
      </c>
      <c r="O18" s="11"/>
    </row>
    <row r="19" customFormat="false" ht="15" hidden="false" customHeight="false" outlineLevel="0" collapsed="false">
      <c r="A19" s="21" t="n">
        <v>18</v>
      </c>
      <c r="B19" s="22" t="s">
        <v>101</v>
      </c>
      <c r="C19" s="22" t="s">
        <v>518</v>
      </c>
      <c r="D19" s="23" t="n">
        <v>320</v>
      </c>
      <c r="E19" s="21" t="n">
        <v>6</v>
      </c>
      <c r="F19" s="24" t="n">
        <v>4.16</v>
      </c>
      <c r="G19" s="23" t="n">
        <f aca="false">ROUND(D19*(100-E19)/100,0)</f>
        <v>301</v>
      </c>
      <c r="H19" s="25" t="s">
        <v>61</v>
      </c>
      <c r="I19" s="11" t="s">
        <v>543</v>
      </c>
      <c r="J19" s="22" t="s">
        <v>520</v>
      </c>
      <c r="K19" s="11" t="s">
        <v>100</v>
      </c>
      <c r="L19" s="28" t="s">
        <v>529</v>
      </c>
      <c r="M19" s="27" t="s">
        <v>522</v>
      </c>
      <c r="N19" s="21" t="s">
        <v>91</v>
      </c>
      <c r="O19" s="11"/>
    </row>
    <row r="20" customFormat="false" ht="15" hidden="false" customHeight="false" outlineLevel="0" collapsed="false">
      <c r="A20" s="21" t="n">
        <v>19</v>
      </c>
      <c r="B20" s="22" t="s">
        <v>544</v>
      </c>
      <c r="C20" s="22" t="s">
        <v>518</v>
      </c>
      <c r="D20" s="23" t="n">
        <v>320</v>
      </c>
      <c r="E20" s="21" t="n">
        <v>16</v>
      </c>
      <c r="F20" s="24" t="n">
        <v>2.34</v>
      </c>
      <c r="G20" s="23" t="n">
        <f aca="false">ROUND(D20*(100-E20)/100,0)</f>
        <v>269</v>
      </c>
      <c r="H20" s="25" t="s">
        <v>61</v>
      </c>
      <c r="I20" s="11" t="s">
        <v>519</v>
      </c>
      <c r="J20" s="22" t="s">
        <v>520</v>
      </c>
      <c r="K20" s="11" t="s">
        <v>59</v>
      </c>
      <c r="L20" s="26" t="s">
        <v>521</v>
      </c>
      <c r="M20" s="21" t="s">
        <v>526</v>
      </c>
      <c r="N20" s="21" t="s">
        <v>427</v>
      </c>
      <c r="O20" s="11" t="s">
        <v>59</v>
      </c>
    </row>
    <row r="21" customFormat="false" ht="15" hidden="false" customHeight="false" outlineLevel="0" collapsed="false">
      <c r="A21" s="21" t="n">
        <v>20</v>
      </c>
      <c r="B21" s="22" t="s">
        <v>545</v>
      </c>
      <c r="C21" s="22" t="s">
        <v>524</v>
      </c>
      <c r="D21" s="23" t="n">
        <v>260</v>
      </c>
      <c r="E21" s="21" t="n">
        <v>10</v>
      </c>
      <c r="F21" s="24" t="n">
        <v>2.14</v>
      </c>
      <c r="G21" s="23" t="n">
        <f aca="false">ROUND(D21*(100-E21)/100,0)</f>
        <v>234</v>
      </c>
      <c r="H21" s="25" t="s">
        <v>61</v>
      </c>
      <c r="I21" s="11" t="s">
        <v>519</v>
      </c>
      <c r="J21" s="22" t="s">
        <v>520</v>
      </c>
      <c r="K21" s="11" t="s">
        <v>59</v>
      </c>
      <c r="L21" s="26" t="s">
        <v>521</v>
      </c>
      <c r="M21" s="21" t="s">
        <v>526</v>
      </c>
      <c r="N21" s="21" t="s">
        <v>91</v>
      </c>
      <c r="O21" s="11"/>
    </row>
    <row r="22" customFormat="false" ht="15" hidden="false" customHeight="false" outlineLevel="0" collapsed="false">
      <c r="A22" s="21" t="n">
        <v>21</v>
      </c>
      <c r="B22" s="22" t="s">
        <v>165</v>
      </c>
      <c r="C22" s="22" t="s">
        <v>518</v>
      </c>
      <c r="D22" s="23" t="n">
        <v>260</v>
      </c>
      <c r="E22" s="21" t="n">
        <v>11</v>
      </c>
      <c r="F22" s="24" t="n">
        <v>1.58</v>
      </c>
      <c r="G22" s="23" t="n">
        <f aca="false">ROUND(D22*(100-E22)/100,0)</f>
        <v>231</v>
      </c>
      <c r="H22" s="25" t="s">
        <v>61</v>
      </c>
      <c r="I22" s="11" t="s">
        <v>528</v>
      </c>
      <c r="J22" s="22" t="s">
        <v>520</v>
      </c>
      <c r="K22" s="11" t="s">
        <v>164</v>
      </c>
      <c r="L22" s="28" t="s">
        <v>529</v>
      </c>
      <c r="M22" s="27" t="s">
        <v>522</v>
      </c>
      <c r="N22" s="21" t="s">
        <v>427</v>
      </c>
      <c r="O22" s="11" t="s">
        <v>164</v>
      </c>
    </row>
    <row r="23" customFormat="false" ht="15" hidden="false" customHeight="false" outlineLevel="0" collapsed="false">
      <c r="A23" s="21" t="n">
        <v>22</v>
      </c>
      <c r="B23" s="22" t="s">
        <v>546</v>
      </c>
      <c r="C23" s="22" t="s">
        <v>518</v>
      </c>
      <c r="D23" s="23" t="n">
        <v>260</v>
      </c>
      <c r="E23" s="21" t="n">
        <v>11</v>
      </c>
      <c r="F23" s="24" t="n">
        <v>1.58</v>
      </c>
      <c r="G23" s="23" t="n">
        <f aca="false">ROUND(D23*(100-E23)/100,0)</f>
        <v>231</v>
      </c>
      <c r="H23" s="25" t="s">
        <v>61</v>
      </c>
      <c r="I23" s="11" t="s">
        <v>528</v>
      </c>
      <c r="J23" s="22" t="s">
        <v>520</v>
      </c>
      <c r="K23" s="11" t="s">
        <v>164</v>
      </c>
      <c r="L23" s="28" t="s">
        <v>529</v>
      </c>
      <c r="M23" s="21" t="s">
        <v>526</v>
      </c>
      <c r="N23" s="21" t="s">
        <v>91</v>
      </c>
      <c r="O23" s="11"/>
    </row>
    <row r="24" customFormat="false" ht="15" hidden="false" customHeight="false" outlineLevel="0" collapsed="false">
      <c r="A24" s="21" t="n">
        <v>23</v>
      </c>
      <c r="B24" s="22" t="s">
        <v>547</v>
      </c>
      <c r="C24" s="22" t="s">
        <v>518</v>
      </c>
      <c r="D24" s="23" t="n">
        <v>260</v>
      </c>
      <c r="E24" s="21" t="n">
        <v>11</v>
      </c>
      <c r="F24" s="24" t="n">
        <v>1.58</v>
      </c>
      <c r="G24" s="23" t="n">
        <f aca="false">ROUND(D24*(100-E24)/100,0)</f>
        <v>231</v>
      </c>
      <c r="H24" s="25" t="s">
        <v>61</v>
      </c>
      <c r="I24" s="11" t="s">
        <v>528</v>
      </c>
      <c r="J24" s="22" t="s">
        <v>520</v>
      </c>
      <c r="K24" s="11" t="s">
        <v>164</v>
      </c>
      <c r="L24" s="28" t="s">
        <v>529</v>
      </c>
      <c r="M24" s="21" t="s">
        <v>526</v>
      </c>
      <c r="N24" s="21" t="s">
        <v>91</v>
      </c>
      <c r="O24" s="11"/>
    </row>
    <row r="25" customFormat="false" ht="15" hidden="false" customHeight="false" outlineLevel="0" collapsed="false">
      <c r="A25" s="21" t="n">
        <v>24</v>
      </c>
      <c r="B25" s="22" t="s">
        <v>548</v>
      </c>
      <c r="C25" s="22" t="s">
        <v>549</v>
      </c>
      <c r="D25" s="23" t="n">
        <v>260</v>
      </c>
      <c r="E25" s="21" t="n">
        <v>17</v>
      </c>
      <c r="F25" s="24" t="n">
        <v>1.51</v>
      </c>
      <c r="G25" s="23" t="n">
        <f aca="false">ROUND(D25*(100-E25)/100,0)</f>
        <v>216</v>
      </c>
      <c r="H25" s="25" t="s">
        <v>61</v>
      </c>
      <c r="I25" s="11" t="s">
        <v>528</v>
      </c>
      <c r="J25" s="22" t="s">
        <v>520</v>
      </c>
      <c r="K25" s="11" t="s">
        <v>85</v>
      </c>
      <c r="L25" s="28" t="s">
        <v>529</v>
      </c>
      <c r="M25" s="21" t="s">
        <v>526</v>
      </c>
      <c r="N25" s="21" t="s">
        <v>91</v>
      </c>
      <c r="O25" s="11"/>
    </row>
    <row r="26" customFormat="false" ht="15" hidden="false" customHeight="false" outlineLevel="0" collapsed="false">
      <c r="A26" s="21" t="n">
        <v>25</v>
      </c>
      <c r="B26" s="22" t="s">
        <v>550</v>
      </c>
      <c r="C26" s="22" t="s">
        <v>549</v>
      </c>
      <c r="D26" s="23" t="n">
        <v>260</v>
      </c>
      <c r="E26" s="21" t="n">
        <v>17</v>
      </c>
      <c r="F26" s="24" t="n">
        <v>1.59</v>
      </c>
      <c r="G26" s="23" t="n">
        <f aca="false">ROUND(D26*(100-E26)/100,0)</f>
        <v>216</v>
      </c>
      <c r="H26" s="25" t="s">
        <v>61</v>
      </c>
      <c r="I26" s="11" t="s">
        <v>528</v>
      </c>
      <c r="J26" s="22" t="s">
        <v>520</v>
      </c>
      <c r="K26" s="11" t="s">
        <v>85</v>
      </c>
      <c r="L26" s="28" t="s">
        <v>529</v>
      </c>
      <c r="M26" s="21" t="s">
        <v>526</v>
      </c>
      <c r="N26" s="21" t="s">
        <v>91</v>
      </c>
      <c r="O26" s="11"/>
    </row>
    <row r="27" customFormat="false" ht="15" hidden="false" customHeight="false" outlineLevel="0" collapsed="false">
      <c r="A27" s="21" t="n">
        <v>26</v>
      </c>
      <c r="B27" s="22" t="s">
        <v>551</v>
      </c>
      <c r="C27" s="22" t="s">
        <v>549</v>
      </c>
      <c r="D27" s="23" t="n">
        <v>260</v>
      </c>
      <c r="E27" s="21" t="n">
        <v>17</v>
      </c>
      <c r="F27" s="24" t="n">
        <v>1.51</v>
      </c>
      <c r="G27" s="23" t="n">
        <f aca="false">ROUND(D27*(100-E27)/100,0)</f>
        <v>216</v>
      </c>
      <c r="H27" s="25" t="s">
        <v>61</v>
      </c>
      <c r="I27" s="11" t="s">
        <v>528</v>
      </c>
      <c r="J27" s="22" t="s">
        <v>520</v>
      </c>
      <c r="K27" s="11" t="s">
        <v>85</v>
      </c>
      <c r="L27" s="28" t="s">
        <v>529</v>
      </c>
      <c r="M27" s="21" t="s">
        <v>526</v>
      </c>
      <c r="N27" s="21" t="s">
        <v>91</v>
      </c>
      <c r="O27" s="11"/>
    </row>
    <row r="28" customFormat="false" ht="15" hidden="false" customHeight="false" outlineLevel="0" collapsed="false">
      <c r="A28" s="21" t="n">
        <v>27</v>
      </c>
      <c r="B28" s="22" t="s">
        <v>552</v>
      </c>
      <c r="C28" s="22" t="s">
        <v>518</v>
      </c>
      <c r="D28" s="23" t="n">
        <v>210</v>
      </c>
      <c r="E28" s="21" t="n">
        <v>4</v>
      </c>
      <c r="F28" s="24" t="n">
        <v>1.66</v>
      </c>
      <c r="G28" s="23" t="n">
        <f aca="false">ROUND(D28*(100-E28)/100,0)</f>
        <v>202</v>
      </c>
      <c r="H28" s="25" t="s">
        <v>61</v>
      </c>
      <c r="I28" s="11" t="s">
        <v>528</v>
      </c>
      <c r="J28" s="22" t="s">
        <v>520</v>
      </c>
      <c r="K28" s="11" t="s">
        <v>85</v>
      </c>
      <c r="L28" s="28" t="s">
        <v>529</v>
      </c>
      <c r="M28" s="21" t="s">
        <v>526</v>
      </c>
      <c r="N28" s="21" t="s">
        <v>91</v>
      </c>
      <c r="O28" s="11"/>
    </row>
    <row r="29" customFormat="false" ht="15" hidden="false" customHeight="false" outlineLevel="0" collapsed="false">
      <c r="A29" s="21" t="n">
        <v>28</v>
      </c>
      <c r="B29" s="22" t="s">
        <v>94</v>
      </c>
      <c r="C29" s="22" t="s">
        <v>524</v>
      </c>
      <c r="D29" s="23" t="n">
        <v>210</v>
      </c>
      <c r="E29" s="21" t="n">
        <v>5</v>
      </c>
      <c r="F29" s="24" t="n">
        <v>0</v>
      </c>
      <c r="G29" s="23" t="n">
        <f aca="false">ROUND(D29*(100-E29)/100,0)</f>
        <v>200</v>
      </c>
      <c r="H29" s="25" t="s">
        <v>61</v>
      </c>
      <c r="I29" s="11" t="s">
        <v>553</v>
      </c>
      <c r="J29" s="22" t="s">
        <v>520</v>
      </c>
      <c r="K29" s="11" t="s">
        <v>93</v>
      </c>
      <c r="L29" s="26" t="s">
        <v>521</v>
      </c>
      <c r="M29" s="27" t="s">
        <v>522</v>
      </c>
      <c r="N29" s="21" t="s">
        <v>91</v>
      </c>
      <c r="O29" s="11"/>
    </row>
    <row r="30" customFormat="false" ht="15" hidden="false" customHeight="false" outlineLevel="0" collapsed="false">
      <c r="A30" s="21" t="n">
        <v>29</v>
      </c>
      <c r="B30" s="22" t="s">
        <v>554</v>
      </c>
      <c r="C30" s="22" t="s">
        <v>524</v>
      </c>
      <c r="D30" s="23" t="n">
        <v>210</v>
      </c>
      <c r="E30" s="21" t="n">
        <v>6</v>
      </c>
      <c r="F30" s="24" t="n">
        <v>3.83</v>
      </c>
      <c r="G30" s="23" t="n">
        <f aca="false">ROUND(D30*(100-E30)/100,0)</f>
        <v>197</v>
      </c>
      <c r="H30" s="25" t="s">
        <v>61</v>
      </c>
      <c r="I30" s="11" t="s">
        <v>531</v>
      </c>
      <c r="J30" s="22" t="s">
        <v>520</v>
      </c>
      <c r="K30" s="11" t="s">
        <v>76</v>
      </c>
      <c r="L30" s="26" t="s">
        <v>521</v>
      </c>
      <c r="M30" s="21" t="s">
        <v>526</v>
      </c>
      <c r="N30" s="21" t="s">
        <v>91</v>
      </c>
      <c r="O30" s="11"/>
    </row>
    <row r="31" customFormat="false" ht="15" hidden="false" customHeight="false" outlineLevel="0" collapsed="false">
      <c r="A31" s="21" t="n">
        <v>30</v>
      </c>
      <c r="B31" s="22" t="s">
        <v>555</v>
      </c>
      <c r="C31" s="22" t="s">
        <v>524</v>
      </c>
      <c r="D31" s="23" t="n">
        <v>210</v>
      </c>
      <c r="E31" s="21" t="n">
        <v>6</v>
      </c>
      <c r="F31" s="24" t="n">
        <v>4.16</v>
      </c>
      <c r="G31" s="23" t="n">
        <f aca="false">ROUND(D31*(100-E31)/100,0)</f>
        <v>197</v>
      </c>
      <c r="H31" s="25" t="s">
        <v>61</v>
      </c>
      <c r="I31" s="11" t="s">
        <v>543</v>
      </c>
      <c r="J31" s="22" t="s">
        <v>520</v>
      </c>
      <c r="K31" s="11" t="s">
        <v>100</v>
      </c>
      <c r="L31" s="28" t="s">
        <v>529</v>
      </c>
      <c r="M31" s="21" t="s">
        <v>526</v>
      </c>
      <c r="N31" s="21" t="s">
        <v>427</v>
      </c>
      <c r="O31" s="11" t="s">
        <v>100</v>
      </c>
    </row>
    <row r="32" customFormat="false" ht="15" hidden="false" customHeight="false" outlineLevel="0" collapsed="false">
      <c r="A32" s="21" t="n">
        <v>31</v>
      </c>
      <c r="B32" s="22" t="s">
        <v>556</v>
      </c>
      <c r="C32" s="22" t="s">
        <v>524</v>
      </c>
      <c r="D32" s="23" t="n">
        <v>210</v>
      </c>
      <c r="E32" s="21" t="n">
        <v>9</v>
      </c>
      <c r="F32" s="24" t="n">
        <v>13.59</v>
      </c>
      <c r="G32" s="23" t="n">
        <f aca="false">ROUND(D32*(100-E32)/100,0)</f>
        <v>191</v>
      </c>
      <c r="H32" s="25" t="s">
        <v>61</v>
      </c>
      <c r="I32" s="11" t="s">
        <v>532</v>
      </c>
      <c r="J32" s="22" t="s">
        <v>520</v>
      </c>
      <c r="K32" s="11" t="s">
        <v>69</v>
      </c>
      <c r="L32" s="26" t="s">
        <v>521</v>
      </c>
      <c r="M32" s="21" t="s">
        <v>526</v>
      </c>
      <c r="N32" s="21" t="s">
        <v>91</v>
      </c>
      <c r="O32" s="11"/>
    </row>
    <row r="33" customFormat="false" ht="15" hidden="false" customHeight="false" outlineLevel="0" collapsed="false">
      <c r="A33" s="21" t="n">
        <v>32</v>
      </c>
      <c r="B33" s="22" t="s">
        <v>171</v>
      </c>
      <c r="C33" s="22" t="s">
        <v>518</v>
      </c>
      <c r="D33" s="23" t="n">
        <v>210</v>
      </c>
      <c r="E33" s="21" t="n">
        <v>10</v>
      </c>
      <c r="F33" s="24" t="n">
        <v>1.49</v>
      </c>
      <c r="G33" s="23" t="n">
        <f aca="false">ROUND(D33*(100-E33)/100,0)</f>
        <v>189</v>
      </c>
      <c r="H33" s="25" t="s">
        <v>61</v>
      </c>
      <c r="I33" s="11" t="s">
        <v>528</v>
      </c>
      <c r="J33" s="22" t="s">
        <v>520</v>
      </c>
      <c r="K33" s="11" t="s">
        <v>170</v>
      </c>
      <c r="L33" s="28" t="s">
        <v>529</v>
      </c>
      <c r="M33" s="27" t="s">
        <v>522</v>
      </c>
      <c r="N33" s="21" t="s">
        <v>427</v>
      </c>
      <c r="O33" s="11" t="s">
        <v>170</v>
      </c>
    </row>
    <row r="34" customFormat="false" ht="15" hidden="false" customHeight="false" outlineLevel="0" collapsed="false">
      <c r="A34" s="21" t="n">
        <v>33</v>
      </c>
      <c r="B34" s="22" t="s">
        <v>557</v>
      </c>
      <c r="C34" s="22" t="s">
        <v>524</v>
      </c>
      <c r="D34" s="23" t="n">
        <v>210</v>
      </c>
      <c r="E34" s="21" t="n">
        <v>12</v>
      </c>
      <c r="F34" s="24" t="n">
        <v>2.44</v>
      </c>
      <c r="G34" s="23" t="n">
        <f aca="false">ROUND(D34*(100-E34)/100,0)</f>
        <v>185</v>
      </c>
      <c r="H34" s="25" t="s">
        <v>61</v>
      </c>
      <c r="I34" s="11" t="s">
        <v>531</v>
      </c>
      <c r="J34" s="22" t="s">
        <v>520</v>
      </c>
      <c r="K34" s="11" t="s">
        <v>76</v>
      </c>
      <c r="L34" s="26" t="s">
        <v>521</v>
      </c>
      <c r="M34" s="21" t="s">
        <v>526</v>
      </c>
      <c r="N34" s="21" t="s">
        <v>91</v>
      </c>
      <c r="O34" s="11"/>
    </row>
    <row r="35" customFormat="false" ht="15" hidden="false" customHeight="false" outlineLevel="0" collapsed="false">
      <c r="A35" s="21" t="n">
        <v>34</v>
      </c>
      <c r="B35" s="22" t="s">
        <v>177</v>
      </c>
      <c r="C35" s="22" t="s">
        <v>518</v>
      </c>
      <c r="D35" s="23" t="n">
        <v>210</v>
      </c>
      <c r="E35" s="21" t="n">
        <v>13</v>
      </c>
      <c r="F35" s="24" t="n">
        <v>1.83</v>
      </c>
      <c r="G35" s="23" t="n">
        <f aca="false">ROUND(D35*(100-E35)/100,0)</f>
        <v>183</v>
      </c>
      <c r="H35" s="25" t="s">
        <v>61</v>
      </c>
      <c r="I35" s="11" t="s">
        <v>519</v>
      </c>
      <c r="J35" s="22" t="s">
        <v>520</v>
      </c>
      <c r="K35" s="11" t="s">
        <v>176</v>
      </c>
      <c r="L35" s="28" t="s">
        <v>529</v>
      </c>
      <c r="M35" s="27" t="s">
        <v>522</v>
      </c>
      <c r="N35" s="21" t="s">
        <v>91</v>
      </c>
      <c r="O35" s="11"/>
    </row>
    <row r="36" customFormat="false" ht="15" hidden="false" customHeight="false" outlineLevel="0" collapsed="false">
      <c r="A36" s="21" t="n">
        <v>35</v>
      </c>
      <c r="B36" s="22" t="s">
        <v>558</v>
      </c>
      <c r="C36" s="22" t="s">
        <v>524</v>
      </c>
      <c r="D36" s="23" t="n">
        <v>210</v>
      </c>
      <c r="E36" s="21" t="n">
        <v>15</v>
      </c>
      <c r="F36" s="24" t="n">
        <v>2.44</v>
      </c>
      <c r="G36" s="23" t="n">
        <f aca="false">ROUND(D36*(100-E36)/100,0)</f>
        <v>179</v>
      </c>
      <c r="H36" s="25" t="s">
        <v>61</v>
      </c>
      <c r="I36" s="11" t="s">
        <v>531</v>
      </c>
      <c r="J36" s="22" t="s">
        <v>520</v>
      </c>
      <c r="K36" s="11" t="s">
        <v>76</v>
      </c>
      <c r="L36" s="26" t="s">
        <v>521</v>
      </c>
      <c r="M36" s="21" t="s">
        <v>526</v>
      </c>
      <c r="N36" s="21" t="s">
        <v>91</v>
      </c>
      <c r="O36" s="11"/>
    </row>
    <row r="37" customFormat="false" ht="15" hidden="false" customHeight="false" outlineLevel="0" collapsed="false">
      <c r="A37" s="21" t="n">
        <v>36</v>
      </c>
      <c r="B37" s="22" t="s">
        <v>559</v>
      </c>
      <c r="C37" s="22" t="s">
        <v>524</v>
      </c>
      <c r="D37" s="23" t="n">
        <v>210</v>
      </c>
      <c r="E37" s="21" t="n">
        <v>19</v>
      </c>
      <c r="F37" s="24" t="n">
        <v>2.44</v>
      </c>
      <c r="G37" s="23" t="n">
        <f aca="false">ROUND(D37*(100-E37)/100,0)</f>
        <v>170</v>
      </c>
      <c r="H37" s="25" t="s">
        <v>61</v>
      </c>
      <c r="I37" s="11" t="s">
        <v>531</v>
      </c>
      <c r="J37" s="22" t="s">
        <v>520</v>
      </c>
      <c r="K37" s="11" t="s">
        <v>76</v>
      </c>
      <c r="L37" s="26" t="s">
        <v>521</v>
      </c>
      <c r="M37" s="21" t="s">
        <v>526</v>
      </c>
      <c r="N37" s="21" t="s">
        <v>91</v>
      </c>
      <c r="O37" s="11"/>
    </row>
    <row r="38" customFormat="false" ht="15" hidden="false" customHeight="false" outlineLevel="0" collapsed="false">
      <c r="A38" s="21" t="n">
        <v>37</v>
      </c>
      <c r="B38" s="22" t="s">
        <v>560</v>
      </c>
      <c r="C38" s="22" t="s">
        <v>518</v>
      </c>
      <c r="D38" s="23" t="n">
        <v>170</v>
      </c>
      <c r="E38" s="21" t="n">
        <v>5</v>
      </c>
      <c r="F38" s="24" t="n">
        <v>1.66</v>
      </c>
      <c r="G38" s="23" t="n">
        <f aca="false">ROUND(D38*(100-E38)/100,0)</f>
        <v>162</v>
      </c>
      <c r="H38" s="29" t="s">
        <v>134</v>
      </c>
      <c r="I38" s="11" t="s">
        <v>528</v>
      </c>
      <c r="J38" s="22" t="s">
        <v>520</v>
      </c>
      <c r="K38" s="11" t="s">
        <v>85</v>
      </c>
      <c r="L38" s="28" t="s">
        <v>529</v>
      </c>
      <c r="M38" s="21" t="s">
        <v>526</v>
      </c>
      <c r="N38" s="21" t="s">
        <v>91</v>
      </c>
      <c r="O38" s="11"/>
    </row>
    <row r="39" customFormat="false" ht="15" hidden="false" customHeight="false" outlineLevel="0" collapsed="false">
      <c r="A39" s="21" t="n">
        <v>38</v>
      </c>
      <c r="B39" s="22" t="s">
        <v>141</v>
      </c>
      <c r="C39" s="22" t="s">
        <v>524</v>
      </c>
      <c r="D39" s="23" t="n">
        <v>170</v>
      </c>
      <c r="E39" s="21" t="n">
        <v>5</v>
      </c>
      <c r="F39" s="24" t="n">
        <v>0</v>
      </c>
      <c r="G39" s="23" t="n">
        <f aca="false">ROUND(D39*(100-E39)/100,0)</f>
        <v>162</v>
      </c>
      <c r="H39" s="29" t="s">
        <v>134</v>
      </c>
      <c r="I39" s="11" t="s">
        <v>561</v>
      </c>
      <c r="J39" s="22" t="s">
        <v>498</v>
      </c>
      <c r="K39" s="11" t="s">
        <v>140</v>
      </c>
      <c r="L39" s="28" t="s">
        <v>529</v>
      </c>
      <c r="M39" s="27" t="s">
        <v>522</v>
      </c>
      <c r="N39" s="21" t="s">
        <v>91</v>
      </c>
      <c r="O39" s="11"/>
    </row>
    <row r="40" customFormat="false" ht="15" hidden="false" customHeight="false" outlineLevel="0" collapsed="false">
      <c r="A40" s="21" t="n">
        <v>39</v>
      </c>
      <c r="B40" s="22" t="s">
        <v>562</v>
      </c>
      <c r="C40" s="22" t="s">
        <v>524</v>
      </c>
      <c r="D40" s="23" t="n">
        <v>170</v>
      </c>
      <c r="E40" s="21" t="n">
        <v>9</v>
      </c>
      <c r="F40" s="24" t="n">
        <v>2.35</v>
      </c>
      <c r="G40" s="23" t="n">
        <f aca="false">ROUND(D40*(100-E40)/100,0)</f>
        <v>155</v>
      </c>
      <c r="H40" s="29" t="s">
        <v>134</v>
      </c>
      <c r="I40" s="11" t="s">
        <v>519</v>
      </c>
      <c r="J40" s="22" t="s">
        <v>520</v>
      </c>
      <c r="K40" s="11" t="s">
        <v>59</v>
      </c>
      <c r="L40" s="26" t="s">
        <v>521</v>
      </c>
      <c r="M40" s="21" t="s">
        <v>526</v>
      </c>
      <c r="N40" s="21" t="s">
        <v>91</v>
      </c>
      <c r="O40" s="11"/>
    </row>
    <row r="41" customFormat="false" ht="15" hidden="false" customHeight="false" outlineLevel="0" collapsed="false">
      <c r="A41" s="21" t="n">
        <v>40</v>
      </c>
      <c r="B41" s="22" t="s">
        <v>563</v>
      </c>
      <c r="C41" s="22" t="s">
        <v>524</v>
      </c>
      <c r="D41" s="23" t="n">
        <v>170</v>
      </c>
      <c r="E41" s="21" t="n">
        <v>9</v>
      </c>
      <c r="F41" s="24" t="n">
        <v>1.87</v>
      </c>
      <c r="G41" s="23" t="n">
        <f aca="false">ROUND(D41*(100-E41)/100,0)</f>
        <v>155</v>
      </c>
      <c r="H41" s="29" t="s">
        <v>134</v>
      </c>
      <c r="I41" s="11" t="s">
        <v>531</v>
      </c>
      <c r="J41" s="22" t="s">
        <v>520</v>
      </c>
      <c r="K41" s="11" t="s">
        <v>76</v>
      </c>
      <c r="L41" s="26" t="s">
        <v>521</v>
      </c>
      <c r="M41" s="21" t="s">
        <v>526</v>
      </c>
      <c r="N41" s="21" t="s">
        <v>91</v>
      </c>
      <c r="O41" s="11"/>
    </row>
    <row r="42" customFormat="false" ht="15" hidden="false" customHeight="false" outlineLevel="0" collapsed="false">
      <c r="A42" s="21" t="n">
        <v>41</v>
      </c>
      <c r="B42" s="22" t="s">
        <v>564</v>
      </c>
      <c r="C42" s="22" t="s">
        <v>524</v>
      </c>
      <c r="D42" s="23" t="n">
        <v>170</v>
      </c>
      <c r="E42" s="21" t="n">
        <v>9</v>
      </c>
      <c r="F42" s="24" t="n">
        <v>2.44</v>
      </c>
      <c r="G42" s="23" t="n">
        <f aca="false">ROUND(D42*(100-E42)/100,0)</f>
        <v>155</v>
      </c>
      <c r="H42" s="29" t="s">
        <v>134</v>
      </c>
      <c r="I42" s="11" t="s">
        <v>531</v>
      </c>
      <c r="J42" s="22" t="s">
        <v>520</v>
      </c>
      <c r="K42" s="11" t="s">
        <v>76</v>
      </c>
      <c r="L42" s="26" t="s">
        <v>521</v>
      </c>
      <c r="M42" s="21" t="s">
        <v>526</v>
      </c>
      <c r="N42" s="21" t="s">
        <v>91</v>
      </c>
      <c r="O42" s="11"/>
    </row>
    <row r="43" customFormat="false" ht="15" hidden="false" customHeight="false" outlineLevel="0" collapsed="false">
      <c r="A43" s="21" t="n">
        <v>42</v>
      </c>
      <c r="B43" s="22" t="s">
        <v>565</v>
      </c>
      <c r="C43" s="22" t="s">
        <v>524</v>
      </c>
      <c r="D43" s="23" t="n">
        <v>170</v>
      </c>
      <c r="E43" s="21" t="n">
        <v>12</v>
      </c>
      <c r="F43" s="24" t="n">
        <v>11.94</v>
      </c>
      <c r="G43" s="23" t="n">
        <f aca="false">ROUND(D43*(100-E43)/100,0)</f>
        <v>150</v>
      </c>
      <c r="H43" s="25" t="s">
        <v>61</v>
      </c>
      <c r="I43" s="11" t="s">
        <v>532</v>
      </c>
      <c r="J43" s="22" t="s">
        <v>520</v>
      </c>
      <c r="K43" s="11" t="s">
        <v>69</v>
      </c>
      <c r="L43" s="26" t="s">
        <v>521</v>
      </c>
      <c r="M43" s="21" t="s">
        <v>526</v>
      </c>
      <c r="N43" s="21" t="s">
        <v>91</v>
      </c>
      <c r="O43" s="11"/>
    </row>
    <row r="44" customFormat="false" ht="15" hidden="false" customHeight="false" outlineLevel="0" collapsed="false">
      <c r="A44" s="21" t="n">
        <v>43</v>
      </c>
      <c r="B44" s="22" t="s">
        <v>566</v>
      </c>
      <c r="C44" s="22" t="s">
        <v>524</v>
      </c>
      <c r="D44" s="23" t="n">
        <v>170</v>
      </c>
      <c r="E44" s="21" t="n">
        <v>16</v>
      </c>
      <c r="F44" s="24" t="n">
        <v>3.83</v>
      </c>
      <c r="G44" s="23" t="n">
        <f aca="false">ROUND(D44*(100-E44)/100,0)</f>
        <v>143</v>
      </c>
      <c r="H44" s="29" t="s">
        <v>134</v>
      </c>
      <c r="I44" s="11" t="s">
        <v>531</v>
      </c>
      <c r="J44" s="22" t="s">
        <v>520</v>
      </c>
      <c r="K44" s="11" t="s">
        <v>76</v>
      </c>
      <c r="L44" s="26" t="s">
        <v>521</v>
      </c>
      <c r="M44" s="21" t="s">
        <v>526</v>
      </c>
      <c r="N44" s="21" t="s">
        <v>91</v>
      </c>
      <c r="O44" s="11"/>
    </row>
    <row r="45" customFormat="false" ht="15" hidden="false" customHeight="false" outlineLevel="0" collapsed="false">
      <c r="A45" s="21" t="n">
        <v>44</v>
      </c>
      <c r="B45" s="22" t="s">
        <v>567</v>
      </c>
      <c r="C45" s="22" t="s">
        <v>524</v>
      </c>
      <c r="D45" s="23" t="n">
        <v>170</v>
      </c>
      <c r="E45" s="21" t="n">
        <v>17</v>
      </c>
      <c r="F45" s="24" t="n">
        <v>1.87</v>
      </c>
      <c r="G45" s="23" t="n">
        <f aca="false">ROUND(D45*(100-E45)/100,0)</f>
        <v>141</v>
      </c>
      <c r="H45" s="29" t="s">
        <v>134</v>
      </c>
      <c r="I45" s="11" t="s">
        <v>531</v>
      </c>
      <c r="J45" s="22" t="s">
        <v>520</v>
      </c>
      <c r="K45" s="11" t="s">
        <v>76</v>
      </c>
      <c r="L45" s="26" t="s">
        <v>521</v>
      </c>
      <c r="M45" s="21" t="s">
        <v>526</v>
      </c>
      <c r="N45" s="21" t="s">
        <v>91</v>
      </c>
      <c r="O45" s="11"/>
    </row>
    <row r="46" customFormat="false" ht="15" hidden="false" customHeight="false" outlineLevel="0" collapsed="false">
      <c r="A46" s="21" t="n">
        <v>45</v>
      </c>
      <c r="B46" s="22" t="s">
        <v>568</v>
      </c>
      <c r="C46" s="22" t="s">
        <v>524</v>
      </c>
      <c r="D46" s="23" t="n">
        <v>170</v>
      </c>
      <c r="E46" s="21" t="n">
        <v>19</v>
      </c>
      <c r="F46" s="24" t="n">
        <v>1.88</v>
      </c>
      <c r="G46" s="23" t="n">
        <f aca="false">ROUND(D46*(100-E46)/100,0)</f>
        <v>138</v>
      </c>
      <c r="H46" s="29" t="s">
        <v>134</v>
      </c>
      <c r="I46" s="11" t="s">
        <v>519</v>
      </c>
      <c r="J46" s="22" t="s">
        <v>520</v>
      </c>
      <c r="K46" s="11" t="s">
        <v>59</v>
      </c>
      <c r="L46" s="26" t="s">
        <v>521</v>
      </c>
      <c r="M46" s="21" t="s">
        <v>526</v>
      </c>
      <c r="N46" s="21" t="s">
        <v>91</v>
      </c>
      <c r="O46" s="11"/>
    </row>
    <row r="47" customFormat="false" ht="15" hidden="false" customHeight="false" outlineLevel="0" collapsed="false">
      <c r="A47" s="21" t="n">
        <v>46</v>
      </c>
      <c r="B47" s="22" t="s">
        <v>120</v>
      </c>
      <c r="C47" s="22" t="s">
        <v>518</v>
      </c>
      <c r="D47" s="23" t="n">
        <v>170</v>
      </c>
      <c r="E47" s="21" t="n">
        <v>20</v>
      </c>
      <c r="F47" s="24" t="n">
        <v>15.15</v>
      </c>
      <c r="G47" s="23" t="n">
        <f aca="false">ROUND(D47*(100-E47)/100,0)</f>
        <v>136</v>
      </c>
      <c r="H47" s="25" t="s">
        <v>61</v>
      </c>
      <c r="I47" s="11" t="s">
        <v>569</v>
      </c>
      <c r="J47" s="22" t="s">
        <v>520</v>
      </c>
      <c r="K47" s="11" t="s">
        <v>119</v>
      </c>
      <c r="L47" s="28" t="s">
        <v>529</v>
      </c>
      <c r="M47" s="27" t="s">
        <v>522</v>
      </c>
      <c r="N47" s="21" t="s">
        <v>91</v>
      </c>
      <c r="O47" s="11"/>
    </row>
    <row r="48" customFormat="false" ht="15" hidden="false" customHeight="false" outlineLevel="0" collapsed="false">
      <c r="A48" s="21" t="n">
        <v>47</v>
      </c>
      <c r="B48" s="22" t="s">
        <v>145</v>
      </c>
      <c r="C48" s="22" t="s">
        <v>524</v>
      </c>
      <c r="D48" s="23" t="n">
        <v>140</v>
      </c>
      <c r="E48" s="21" t="n">
        <v>5</v>
      </c>
      <c r="F48" s="24" t="n">
        <v>2.62</v>
      </c>
      <c r="G48" s="23" t="n">
        <f aca="false">ROUND(D48*(100-E48)/100,0)</f>
        <v>133</v>
      </c>
      <c r="H48" s="29" t="s">
        <v>134</v>
      </c>
      <c r="I48" s="11" t="s">
        <v>561</v>
      </c>
      <c r="J48" s="22" t="s">
        <v>498</v>
      </c>
      <c r="K48" s="11" t="s">
        <v>144</v>
      </c>
      <c r="L48" s="28" t="s">
        <v>529</v>
      </c>
      <c r="M48" s="27" t="s">
        <v>522</v>
      </c>
      <c r="N48" s="21" t="s">
        <v>427</v>
      </c>
      <c r="O48" s="11" t="s">
        <v>570</v>
      </c>
    </row>
    <row r="49" customFormat="false" ht="15" hidden="false" customHeight="false" outlineLevel="0" collapsed="false">
      <c r="A49" s="21" t="n">
        <v>48</v>
      </c>
      <c r="B49" s="22" t="s">
        <v>126</v>
      </c>
      <c r="C49" s="22" t="s">
        <v>524</v>
      </c>
      <c r="D49" s="23" t="n">
        <v>140</v>
      </c>
      <c r="E49" s="21" t="n">
        <v>7</v>
      </c>
      <c r="F49" s="24" t="n">
        <v>1.53</v>
      </c>
      <c r="G49" s="23" t="n">
        <f aca="false">ROUND(D49*(100-E49)/100,0)</f>
        <v>130</v>
      </c>
      <c r="H49" s="29" t="s">
        <v>134</v>
      </c>
      <c r="I49" s="11" t="s">
        <v>571</v>
      </c>
      <c r="J49" s="22" t="s">
        <v>520</v>
      </c>
      <c r="K49" s="11" t="s">
        <v>125</v>
      </c>
      <c r="L49" s="26" t="s">
        <v>521</v>
      </c>
      <c r="M49" s="27" t="s">
        <v>522</v>
      </c>
      <c r="N49" s="21" t="s">
        <v>91</v>
      </c>
      <c r="O49" s="11"/>
    </row>
    <row r="50" customFormat="false" ht="15" hidden="false" customHeight="false" outlineLevel="0" collapsed="false">
      <c r="A50" s="21" t="n">
        <v>49</v>
      </c>
      <c r="B50" s="22" t="s">
        <v>133</v>
      </c>
      <c r="C50" s="22" t="s">
        <v>524</v>
      </c>
      <c r="D50" s="23" t="n">
        <v>140</v>
      </c>
      <c r="E50" s="21" t="n">
        <v>7</v>
      </c>
      <c r="F50" s="24" t="n">
        <v>1.5</v>
      </c>
      <c r="G50" s="23" t="n">
        <f aca="false">ROUND(D50*(100-E50)/100,0)</f>
        <v>130</v>
      </c>
      <c r="H50" s="29" t="s">
        <v>134</v>
      </c>
      <c r="I50" s="11" t="s">
        <v>561</v>
      </c>
      <c r="J50" s="22" t="s">
        <v>498</v>
      </c>
      <c r="K50" s="11" t="s">
        <v>132</v>
      </c>
      <c r="L50" s="28" t="s">
        <v>529</v>
      </c>
      <c r="M50" s="27" t="s">
        <v>522</v>
      </c>
      <c r="N50" s="21" t="s">
        <v>427</v>
      </c>
      <c r="O50" s="11" t="s">
        <v>570</v>
      </c>
    </row>
    <row r="51" customFormat="false" ht="15" hidden="false" customHeight="false" outlineLevel="0" collapsed="false">
      <c r="A51" s="21" t="n">
        <v>50</v>
      </c>
      <c r="B51" s="22" t="s">
        <v>572</v>
      </c>
      <c r="C51" s="22" t="s">
        <v>524</v>
      </c>
      <c r="D51" s="23" t="n">
        <v>140</v>
      </c>
      <c r="E51" s="21" t="n">
        <v>8</v>
      </c>
      <c r="F51" s="24" t="n">
        <v>10.78</v>
      </c>
      <c r="G51" s="23" t="n">
        <f aca="false">ROUND(D51*(100-E51)/100,0)</f>
        <v>129</v>
      </c>
      <c r="H51" s="25" t="s">
        <v>61</v>
      </c>
      <c r="I51" s="11" t="s">
        <v>532</v>
      </c>
      <c r="J51" s="22" t="s">
        <v>520</v>
      </c>
      <c r="K51" s="11" t="s">
        <v>69</v>
      </c>
      <c r="L51" s="26" t="s">
        <v>521</v>
      </c>
      <c r="M51" s="21" t="s">
        <v>526</v>
      </c>
      <c r="N51" s="21" t="s">
        <v>91</v>
      </c>
      <c r="O51" s="11"/>
    </row>
    <row r="52" customFormat="false" ht="15" hidden="false" customHeight="false" outlineLevel="0" collapsed="false">
      <c r="A52" s="21" t="n">
        <v>51</v>
      </c>
      <c r="B52" s="22" t="s">
        <v>573</v>
      </c>
      <c r="C52" s="22" t="s">
        <v>524</v>
      </c>
      <c r="D52" s="23" t="n">
        <v>140</v>
      </c>
      <c r="E52" s="21" t="n">
        <v>9</v>
      </c>
      <c r="F52" s="24" t="n">
        <v>4.16</v>
      </c>
      <c r="G52" s="23" t="n">
        <f aca="false">ROUND(D52*(100-E52)/100,0)</f>
        <v>127</v>
      </c>
      <c r="H52" s="29" t="s">
        <v>134</v>
      </c>
      <c r="I52" s="11" t="s">
        <v>543</v>
      </c>
      <c r="J52" s="22" t="s">
        <v>520</v>
      </c>
      <c r="K52" s="11" t="s">
        <v>100</v>
      </c>
      <c r="L52" s="28" t="s">
        <v>529</v>
      </c>
      <c r="M52" s="21" t="s">
        <v>526</v>
      </c>
      <c r="N52" s="21" t="s">
        <v>91</v>
      </c>
      <c r="O52" s="11"/>
    </row>
    <row r="53" customFormat="false" ht="15" hidden="false" customHeight="false" outlineLevel="0" collapsed="false">
      <c r="A53" s="21" t="n">
        <v>52</v>
      </c>
      <c r="B53" s="22" t="s">
        <v>574</v>
      </c>
      <c r="C53" s="22" t="s">
        <v>518</v>
      </c>
      <c r="D53" s="23" t="n">
        <v>140</v>
      </c>
      <c r="E53" s="21" t="n">
        <v>11</v>
      </c>
      <c r="F53" s="24" t="n">
        <v>1.9</v>
      </c>
      <c r="G53" s="23" t="n">
        <f aca="false">ROUND(D53*(100-E53)/100,0)</f>
        <v>125</v>
      </c>
      <c r="H53" s="29" t="s">
        <v>134</v>
      </c>
      <c r="I53" s="11" t="s">
        <v>528</v>
      </c>
      <c r="J53" s="22" t="s">
        <v>520</v>
      </c>
      <c r="K53" s="11" t="s">
        <v>106</v>
      </c>
      <c r="L53" s="28" t="s">
        <v>529</v>
      </c>
      <c r="M53" s="21" t="s">
        <v>526</v>
      </c>
      <c r="N53" s="21" t="s">
        <v>91</v>
      </c>
      <c r="O53" s="11"/>
    </row>
    <row r="54" customFormat="false" ht="15" hidden="false" customHeight="false" outlineLevel="0" collapsed="false">
      <c r="A54" s="21" t="n">
        <v>53</v>
      </c>
      <c r="B54" s="22" t="s">
        <v>575</v>
      </c>
      <c r="C54" s="22" t="s">
        <v>524</v>
      </c>
      <c r="D54" s="23" t="n">
        <v>140</v>
      </c>
      <c r="E54" s="21" t="n">
        <v>16</v>
      </c>
      <c r="F54" s="24" t="n">
        <v>2.77</v>
      </c>
      <c r="G54" s="23" t="n">
        <f aca="false">ROUND(D54*(100-E54)/100,0)</f>
        <v>118</v>
      </c>
      <c r="H54" s="29" t="s">
        <v>134</v>
      </c>
      <c r="I54" s="11" t="s">
        <v>531</v>
      </c>
      <c r="J54" s="22" t="s">
        <v>520</v>
      </c>
      <c r="K54" s="11" t="s">
        <v>76</v>
      </c>
      <c r="L54" s="26" t="s">
        <v>521</v>
      </c>
      <c r="M54" s="21" t="s">
        <v>526</v>
      </c>
      <c r="N54" s="21" t="s">
        <v>91</v>
      </c>
      <c r="O54" s="11"/>
    </row>
    <row r="55" customFormat="false" ht="15" hidden="false" customHeight="false" outlineLevel="0" collapsed="false">
      <c r="A55" s="21" t="n">
        <v>54</v>
      </c>
      <c r="B55" s="22" t="s">
        <v>576</v>
      </c>
      <c r="C55" s="22" t="s">
        <v>518</v>
      </c>
      <c r="D55" s="23" t="n">
        <v>140</v>
      </c>
      <c r="E55" s="21" t="n">
        <v>16</v>
      </c>
      <c r="F55" s="24" t="n">
        <v>11.37</v>
      </c>
      <c r="G55" s="23" t="n">
        <f aca="false">ROUND(D55*(100-E55)/100,0)</f>
        <v>118</v>
      </c>
      <c r="H55" s="25" t="s">
        <v>61</v>
      </c>
      <c r="I55" s="11" t="s">
        <v>532</v>
      </c>
      <c r="J55" s="22" t="s">
        <v>520</v>
      </c>
      <c r="K55" s="11" t="s">
        <v>69</v>
      </c>
      <c r="L55" s="26" t="s">
        <v>521</v>
      </c>
      <c r="M55" s="21" t="s">
        <v>526</v>
      </c>
      <c r="N55" s="21" t="s">
        <v>427</v>
      </c>
      <c r="O55" s="11" t="s">
        <v>69</v>
      </c>
    </row>
    <row r="56" customFormat="false" ht="15" hidden="false" customHeight="false" outlineLevel="0" collapsed="false">
      <c r="A56" s="21" t="n">
        <v>55</v>
      </c>
      <c r="B56" s="22" t="s">
        <v>577</v>
      </c>
      <c r="C56" s="22" t="s">
        <v>518</v>
      </c>
      <c r="D56" s="23" t="n">
        <v>140</v>
      </c>
      <c r="E56" s="21" t="n">
        <v>16</v>
      </c>
      <c r="F56" s="24" t="n">
        <v>1.49</v>
      </c>
      <c r="G56" s="23" t="n">
        <f aca="false">ROUND(D56*(100-E56)/100,0)</f>
        <v>118</v>
      </c>
      <c r="H56" s="29" t="s">
        <v>134</v>
      </c>
      <c r="I56" s="11" t="s">
        <v>528</v>
      </c>
      <c r="J56" s="22" t="s">
        <v>520</v>
      </c>
      <c r="K56" s="11" t="s">
        <v>170</v>
      </c>
      <c r="L56" s="28" t="s">
        <v>529</v>
      </c>
      <c r="M56" s="21" t="s">
        <v>526</v>
      </c>
      <c r="N56" s="21" t="s">
        <v>91</v>
      </c>
      <c r="O56" s="11"/>
    </row>
    <row r="57" customFormat="false" ht="15" hidden="false" customHeight="false" outlineLevel="0" collapsed="false">
      <c r="A57" s="21" t="n">
        <v>56</v>
      </c>
      <c r="B57" s="22" t="s">
        <v>578</v>
      </c>
      <c r="C57" s="22" t="s">
        <v>524</v>
      </c>
      <c r="D57" s="23" t="n">
        <v>140</v>
      </c>
      <c r="E57" s="21" t="n">
        <v>17</v>
      </c>
      <c r="F57" s="24" t="n">
        <v>1.87</v>
      </c>
      <c r="G57" s="23" t="n">
        <f aca="false">ROUND(D57*(100-E57)/100,0)</f>
        <v>116</v>
      </c>
      <c r="H57" s="29" t="s">
        <v>134</v>
      </c>
      <c r="I57" s="11" t="s">
        <v>531</v>
      </c>
      <c r="J57" s="22" t="s">
        <v>520</v>
      </c>
      <c r="K57" s="11" t="s">
        <v>76</v>
      </c>
      <c r="L57" s="26" t="s">
        <v>521</v>
      </c>
      <c r="M57" s="21" t="s">
        <v>526</v>
      </c>
      <c r="N57" s="21" t="s">
        <v>91</v>
      </c>
      <c r="O57" s="11"/>
    </row>
    <row r="58" customFormat="false" ht="15" hidden="false" customHeight="false" outlineLevel="0" collapsed="false">
      <c r="A58" s="21" t="n">
        <v>57</v>
      </c>
      <c r="B58" s="22" t="s">
        <v>579</v>
      </c>
      <c r="C58" s="22" t="s">
        <v>518</v>
      </c>
      <c r="D58" s="23" t="n">
        <v>140</v>
      </c>
      <c r="E58" s="21" t="n">
        <v>17</v>
      </c>
      <c r="F58" s="24" t="n">
        <v>9.33</v>
      </c>
      <c r="G58" s="23" t="n">
        <f aca="false">ROUND(D58*(100-E58)/100,0)</f>
        <v>116</v>
      </c>
      <c r="H58" s="25" t="s">
        <v>61</v>
      </c>
      <c r="I58" s="11" t="s">
        <v>532</v>
      </c>
      <c r="J58" s="22" t="s">
        <v>520</v>
      </c>
      <c r="K58" s="11" t="s">
        <v>69</v>
      </c>
      <c r="L58" s="26" t="s">
        <v>521</v>
      </c>
      <c r="M58" s="21" t="s">
        <v>526</v>
      </c>
      <c r="N58" s="21" t="s">
        <v>427</v>
      </c>
      <c r="O58" s="11" t="s">
        <v>69</v>
      </c>
    </row>
    <row r="59" customFormat="false" ht="15" hidden="false" customHeight="false" outlineLevel="0" collapsed="false">
      <c r="A59" s="21" t="n">
        <v>58</v>
      </c>
      <c r="B59" s="22" t="s">
        <v>580</v>
      </c>
      <c r="C59" s="22" t="s">
        <v>518</v>
      </c>
      <c r="D59" s="23" t="n">
        <v>140</v>
      </c>
      <c r="E59" s="21" t="n">
        <v>17</v>
      </c>
      <c r="F59" s="24" t="n">
        <v>9.33</v>
      </c>
      <c r="G59" s="23" t="n">
        <f aca="false">ROUND(D59*(100-E59)/100,0)</f>
        <v>116</v>
      </c>
      <c r="H59" s="25" t="s">
        <v>61</v>
      </c>
      <c r="I59" s="11" t="s">
        <v>532</v>
      </c>
      <c r="J59" s="22" t="s">
        <v>520</v>
      </c>
      <c r="K59" s="11" t="s">
        <v>69</v>
      </c>
      <c r="L59" s="26" t="s">
        <v>521</v>
      </c>
      <c r="M59" s="21" t="s">
        <v>526</v>
      </c>
      <c r="N59" s="21" t="s">
        <v>427</v>
      </c>
      <c r="O59" s="11" t="s">
        <v>69</v>
      </c>
    </row>
    <row r="60" customFormat="false" ht="15" hidden="false" customHeight="false" outlineLevel="0" collapsed="false">
      <c r="A60" s="21" t="n">
        <v>59</v>
      </c>
      <c r="B60" s="22" t="s">
        <v>581</v>
      </c>
      <c r="C60" s="22" t="s">
        <v>518</v>
      </c>
      <c r="D60" s="23" t="n">
        <v>140</v>
      </c>
      <c r="E60" s="21" t="n">
        <v>17</v>
      </c>
      <c r="F60" s="24" t="n">
        <v>1.46</v>
      </c>
      <c r="G60" s="23" t="n">
        <f aca="false">ROUND(D60*(100-E60)/100,0)</f>
        <v>116</v>
      </c>
      <c r="H60" s="29" t="s">
        <v>134</v>
      </c>
      <c r="I60" s="11" t="s">
        <v>528</v>
      </c>
      <c r="J60" s="22" t="s">
        <v>520</v>
      </c>
      <c r="K60" s="11" t="s">
        <v>85</v>
      </c>
      <c r="L60" s="28" t="s">
        <v>529</v>
      </c>
      <c r="M60" s="21" t="s">
        <v>526</v>
      </c>
      <c r="N60" s="21" t="s">
        <v>91</v>
      </c>
      <c r="O60" s="11"/>
    </row>
    <row r="61" customFormat="false" ht="15" hidden="false" customHeight="false" outlineLevel="0" collapsed="false">
      <c r="A61" s="21" t="n">
        <v>60</v>
      </c>
      <c r="B61" s="22" t="s">
        <v>329</v>
      </c>
      <c r="C61" s="22" t="s">
        <v>518</v>
      </c>
      <c r="D61" s="23" t="n">
        <v>140</v>
      </c>
      <c r="E61" s="21" t="n">
        <v>17</v>
      </c>
      <c r="F61" s="24" t="n">
        <v>1.49</v>
      </c>
      <c r="G61" s="23" t="n">
        <f aca="false">ROUND(D61*(100-E61)/100,0)</f>
        <v>116</v>
      </c>
      <c r="H61" s="29" t="s">
        <v>134</v>
      </c>
      <c r="I61" s="11" t="s">
        <v>528</v>
      </c>
      <c r="J61" s="22" t="s">
        <v>520</v>
      </c>
      <c r="K61" s="11" t="s">
        <v>328</v>
      </c>
      <c r="L61" s="28" t="s">
        <v>529</v>
      </c>
      <c r="M61" s="27" t="s">
        <v>522</v>
      </c>
      <c r="N61" s="21" t="s">
        <v>91</v>
      </c>
      <c r="O61" s="11"/>
    </row>
    <row r="62" customFormat="false" ht="15" hidden="false" customHeight="false" outlineLevel="0" collapsed="false">
      <c r="A62" s="21" t="n">
        <v>61</v>
      </c>
      <c r="B62" s="22" t="s">
        <v>582</v>
      </c>
      <c r="C62" s="22" t="s">
        <v>524</v>
      </c>
      <c r="D62" s="23" t="n">
        <v>140</v>
      </c>
      <c r="E62" s="21" t="n">
        <v>18</v>
      </c>
      <c r="F62" s="24" t="n">
        <v>10.15</v>
      </c>
      <c r="G62" s="23" t="n">
        <f aca="false">ROUND(D62*(100-E62)/100,0)</f>
        <v>115</v>
      </c>
      <c r="H62" s="25" t="s">
        <v>61</v>
      </c>
      <c r="I62" s="11" t="s">
        <v>569</v>
      </c>
      <c r="J62" s="22" t="s">
        <v>520</v>
      </c>
      <c r="K62" s="11" t="s">
        <v>119</v>
      </c>
      <c r="L62" s="28" t="s">
        <v>529</v>
      </c>
      <c r="M62" s="21" t="s">
        <v>526</v>
      </c>
      <c r="N62" s="21" t="s">
        <v>91</v>
      </c>
      <c r="O62" s="11"/>
    </row>
    <row r="63" customFormat="false" ht="15" hidden="false" customHeight="false" outlineLevel="0" collapsed="false">
      <c r="A63" s="21" t="n">
        <v>62</v>
      </c>
      <c r="B63" s="22" t="s">
        <v>583</v>
      </c>
      <c r="C63" s="22" t="s">
        <v>524</v>
      </c>
      <c r="D63" s="23" t="n">
        <v>110</v>
      </c>
      <c r="E63" s="21" t="n">
        <v>5</v>
      </c>
      <c r="F63" s="24" t="n">
        <v>0</v>
      </c>
      <c r="G63" s="23" t="n">
        <f aca="false">ROUND(D63*(100-E63)/100,0)</f>
        <v>105</v>
      </c>
      <c r="H63" s="30" t="s">
        <v>584</v>
      </c>
      <c r="I63" s="11" t="s">
        <v>585</v>
      </c>
      <c r="J63" s="22" t="s">
        <v>586</v>
      </c>
      <c r="K63" s="11" t="s">
        <v>284</v>
      </c>
      <c r="L63" s="28" t="s">
        <v>529</v>
      </c>
      <c r="M63" s="21" t="s">
        <v>526</v>
      </c>
      <c r="N63" s="21" t="s">
        <v>91</v>
      </c>
      <c r="O63" s="11"/>
    </row>
    <row r="64" customFormat="false" ht="15" hidden="false" customHeight="false" outlineLevel="0" collapsed="false">
      <c r="A64" s="21" t="n">
        <v>63</v>
      </c>
      <c r="B64" s="22" t="s">
        <v>587</v>
      </c>
      <c r="C64" s="22" t="s">
        <v>524</v>
      </c>
      <c r="D64" s="23" t="n">
        <v>110</v>
      </c>
      <c r="E64" s="21" t="n">
        <v>6</v>
      </c>
      <c r="F64" s="24" t="n">
        <v>1.38</v>
      </c>
      <c r="G64" s="23" t="n">
        <f aca="false">ROUND(D64*(100-E64)/100,0)</f>
        <v>103</v>
      </c>
      <c r="H64" s="29" t="s">
        <v>134</v>
      </c>
      <c r="I64" s="11" t="s">
        <v>588</v>
      </c>
      <c r="J64" s="22" t="s">
        <v>520</v>
      </c>
      <c r="K64" s="11" t="s">
        <v>59</v>
      </c>
      <c r="L64" s="26" t="s">
        <v>521</v>
      </c>
      <c r="M64" s="21" t="s">
        <v>526</v>
      </c>
      <c r="N64" s="21" t="s">
        <v>427</v>
      </c>
      <c r="O64" s="11" t="s">
        <v>59</v>
      </c>
    </row>
    <row r="65" customFormat="false" ht="15" hidden="false" customHeight="false" outlineLevel="0" collapsed="false">
      <c r="A65" s="21" t="n">
        <v>64</v>
      </c>
      <c r="B65" s="22" t="s">
        <v>589</v>
      </c>
      <c r="C65" s="22" t="s">
        <v>524</v>
      </c>
      <c r="D65" s="23" t="n">
        <v>110</v>
      </c>
      <c r="E65" s="21" t="n">
        <v>6</v>
      </c>
      <c r="F65" s="24" t="n">
        <v>7.53</v>
      </c>
      <c r="G65" s="23" t="n">
        <f aca="false">ROUND(D65*(100-E65)/100,0)</f>
        <v>103</v>
      </c>
      <c r="H65" s="25" t="s">
        <v>61</v>
      </c>
      <c r="I65" s="11" t="s">
        <v>543</v>
      </c>
      <c r="J65" s="22" t="s">
        <v>520</v>
      </c>
      <c r="K65" s="11" t="s">
        <v>100</v>
      </c>
      <c r="L65" s="28" t="s">
        <v>529</v>
      </c>
      <c r="M65" s="21" t="s">
        <v>526</v>
      </c>
      <c r="N65" s="21" t="s">
        <v>91</v>
      </c>
      <c r="O65" s="11"/>
    </row>
    <row r="66" customFormat="false" ht="15" hidden="false" customHeight="false" outlineLevel="0" collapsed="false">
      <c r="A66" s="21" t="n">
        <v>65</v>
      </c>
      <c r="B66" s="22" t="s">
        <v>590</v>
      </c>
      <c r="C66" s="22" t="s">
        <v>524</v>
      </c>
      <c r="D66" s="23" t="n">
        <v>110</v>
      </c>
      <c r="E66" s="21" t="n">
        <v>7</v>
      </c>
      <c r="F66" s="24" t="n">
        <v>0</v>
      </c>
      <c r="G66" s="23" t="n">
        <f aca="false">ROUND(D66*(100-E66)/100,0)</f>
        <v>102</v>
      </c>
      <c r="H66" s="29" t="s">
        <v>134</v>
      </c>
      <c r="I66" s="11" t="s">
        <v>519</v>
      </c>
      <c r="J66" s="22" t="s">
        <v>520</v>
      </c>
      <c r="K66" s="11" t="s">
        <v>59</v>
      </c>
      <c r="L66" s="26" t="s">
        <v>521</v>
      </c>
      <c r="M66" s="21" t="s">
        <v>526</v>
      </c>
      <c r="N66" s="21" t="s">
        <v>91</v>
      </c>
      <c r="O66" s="11"/>
    </row>
    <row r="67" customFormat="false" ht="15" hidden="false" customHeight="false" outlineLevel="0" collapsed="false">
      <c r="A67" s="21" t="n">
        <v>66</v>
      </c>
      <c r="B67" s="22" t="s">
        <v>591</v>
      </c>
      <c r="C67" s="22" t="s">
        <v>518</v>
      </c>
      <c r="D67" s="23" t="n">
        <v>110</v>
      </c>
      <c r="E67" s="21" t="n">
        <v>9</v>
      </c>
      <c r="F67" s="24" t="n">
        <v>2.11</v>
      </c>
      <c r="G67" s="23" t="n">
        <f aca="false">ROUND(D67*(100-E67)/100,0)</f>
        <v>100</v>
      </c>
      <c r="H67" s="29" t="s">
        <v>134</v>
      </c>
      <c r="I67" s="11" t="s">
        <v>519</v>
      </c>
      <c r="J67" s="22" t="s">
        <v>520</v>
      </c>
      <c r="K67" s="11" t="s">
        <v>59</v>
      </c>
      <c r="L67" s="26" t="s">
        <v>521</v>
      </c>
      <c r="M67" s="21" t="s">
        <v>526</v>
      </c>
      <c r="N67" s="21" t="s">
        <v>91</v>
      </c>
      <c r="O67" s="11"/>
    </row>
    <row r="68" customFormat="false" ht="15" hidden="false" customHeight="false" outlineLevel="0" collapsed="false">
      <c r="A68" s="21" t="n">
        <v>67</v>
      </c>
      <c r="B68" s="22" t="s">
        <v>592</v>
      </c>
      <c r="C68" s="22" t="s">
        <v>518</v>
      </c>
      <c r="D68" s="23" t="n">
        <v>110</v>
      </c>
      <c r="E68" s="21" t="n">
        <v>10</v>
      </c>
      <c r="F68" s="24" t="n">
        <v>1.63</v>
      </c>
      <c r="G68" s="23" t="n">
        <f aca="false">ROUND(D68*(100-E68)/100,0)</f>
        <v>99</v>
      </c>
      <c r="H68" s="29" t="s">
        <v>134</v>
      </c>
      <c r="I68" s="11" t="s">
        <v>528</v>
      </c>
      <c r="J68" s="22" t="s">
        <v>520</v>
      </c>
      <c r="K68" s="11" t="s">
        <v>106</v>
      </c>
      <c r="L68" s="28" t="s">
        <v>529</v>
      </c>
      <c r="M68" s="21" t="s">
        <v>526</v>
      </c>
      <c r="N68" s="21" t="s">
        <v>91</v>
      </c>
      <c r="O68" s="11"/>
    </row>
    <row r="69" customFormat="false" ht="15" hidden="false" customHeight="false" outlineLevel="0" collapsed="false">
      <c r="A69" s="21" t="n">
        <v>68</v>
      </c>
      <c r="B69" s="22" t="s">
        <v>593</v>
      </c>
      <c r="C69" s="22" t="s">
        <v>524</v>
      </c>
      <c r="D69" s="23" t="n">
        <v>110</v>
      </c>
      <c r="E69" s="21" t="n">
        <v>11</v>
      </c>
      <c r="F69" s="24" t="n">
        <v>2.47</v>
      </c>
      <c r="G69" s="23" t="n">
        <f aca="false">ROUND(D69*(100-E69)/100,0)</f>
        <v>98</v>
      </c>
      <c r="H69" s="29" t="s">
        <v>134</v>
      </c>
      <c r="I69" s="11" t="s">
        <v>531</v>
      </c>
      <c r="J69" s="22" t="s">
        <v>520</v>
      </c>
      <c r="K69" s="11" t="s">
        <v>76</v>
      </c>
      <c r="L69" s="26" t="s">
        <v>521</v>
      </c>
      <c r="M69" s="21" t="s">
        <v>526</v>
      </c>
      <c r="N69" s="21" t="s">
        <v>91</v>
      </c>
      <c r="O69" s="11"/>
    </row>
    <row r="70" customFormat="false" ht="15" hidden="false" customHeight="false" outlineLevel="0" collapsed="false">
      <c r="A70" s="21" t="n">
        <v>69</v>
      </c>
      <c r="B70" s="22" t="s">
        <v>285</v>
      </c>
      <c r="C70" s="22" t="s">
        <v>524</v>
      </c>
      <c r="D70" s="23" t="n">
        <v>110</v>
      </c>
      <c r="E70" s="21" t="n">
        <v>14</v>
      </c>
      <c r="F70" s="24" t="n">
        <v>2.01</v>
      </c>
      <c r="G70" s="23" t="n">
        <f aca="false">ROUND(D70*(100-E70)/100,0)</f>
        <v>95</v>
      </c>
      <c r="H70" s="29" t="s">
        <v>134</v>
      </c>
      <c r="I70" s="11" t="s">
        <v>585</v>
      </c>
      <c r="J70" s="22" t="s">
        <v>498</v>
      </c>
      <c r="K70" s="11" t="s">
        <v>284</v>
      </c>
      <c r="L70" s="28" t="s">
        <v>529</v>
      </c>
      <c r="M70" s="27" t="s">
        <v>522</v>
      </c>
      <c r="N70" s="21" t="s">
        <v>91</v>
      </c>
      <c r="O70" s="11"/>
    </row>
    <row r="71" customFormat="false" ht="15" hidden="false" customHeight="false" outlineLevel="0" collapsed="false">
      <c r="A71" s="21" t="n">
        <v>70</v>
      </c>
      <c r="B71" s="22" t="s">
        <v>211</v>
      </c>
      <c r="C71" s="22" t="s">
        <v>518</v>
      </c>
      <c r="D71" s="23" t="n">
        <v>110</v>
      </c>
      <c r="E71" s="21" t="n">
        <v>15</v>
      </c>
      <c r="F71" s="24" t="n">
        <v>1.75</v>
      </c>
      <c r="G71" s="23" t="n">
        <f aca="false">ROUND(D71*(100-E71)/100,0)</f>
        <v>94</v>
      </c>
      <c r="H71" s="29" t="s">
        <v>134</v>
      </c>
      <c r="I71" s="11" t="s">
        <v>528</v>
      </c>
      <c r="J71" s="22" t="s">
        <v>520</v>
      </c>
      <c r="K71" s="11" t="s">
        <v>210</v>
      </c>
      <c r="L71" s="28" t="s">
        <v>529</v>
      </c>
      <c r="M71" s="27" t="s">
        <v>522</v>
      </c>
      <c r="N71" s="21" t="s">
        <v>91</v>
      </c>
      <c r="O71" s="11"/>
    </row>
    <row r="72" customFormat="false" ht="15" hidden="false" customHeight="false" outlineLevel="0" collapsed="false">
      <c r="A72" s="21" t="n">
        <v>71</v>
      </c>
      <c r="B72" s="22" t="s">
        <v>594</v>
      </c>
      <c r="C72" s="22" t="s">
        <v>518</v>
      </c>
      <c r="D72" s="23" t="n">
        <v>110</v>
      </c>
      <c r="E72" s="21" t="n">
        <v>16</v>
      </c>
      <c r="F72" s="24" t="n">
        <v>2.99</v>
      </c>
      <c r="G72" s="23" t="n">
        <f aca="false">ROUND(D72*(100-E72)/100,0)</f>
        <v>92</v>
      </c>
      <c r="H72" s="29" t="s">
        <v>134</v>
      </c>
      <c r="I72" s="11" t="s">
        <v>519</v>
      </c>
      <c r="J72" s="22" t="s">
        <v>520</v>
      </c>
      <c r="K72" s="11" t="s">
        <v>59</v>
      </c>
      <c r="L72" s="26" t="s">
        <v>521</v>
      </c>
      <c r="M72" s="21" t="s">
        <v>526</v>
      </c>
      <c r="N72" s="21" t="s">
        <v>91</v>
      </c>
      <c r="O72" s="11"/>
    </row>
    <row r="73" customFormat="false" ht="15" hidden="false" customHeight="false" outlineLevel="0" collapsed="false">
      <c r="A73" s="21" t="n">
        <v>72</v>
      </c>
      <c r="B73" s="22" t="s">
        <v>322</v>
      </c>
      <c r="C73" s="22" t="s">
        <v>549</v>
      </c>
      <c r="D73" s="23" t="n">
        <v>110</v>
      </c>
      <c r="E73" s="21" t="n">
        <v>19</v>
      </c>
      <c r="F73" s="24" t="n">
        <v>1.53</v>
      </c>
      <c r="G73" s="23" t="n">
        <f aca="false">ROUND(D73*(100-E73)/100,0)</f>
        <v>89</v>
      </c>
      <c r="H73" s="29" t="s">
        <v>134</v>
      </c>
      <c r="I73" s="11" t="s">
        <v>528</v>
      </c>
      <c r="J73" s="22" t="s">
        <v>520</v>
      </c>
      <c r="K73" s="11" t="s">
        <v>321</v>
      </c>
      <c r="L73" s="28" t="s">
        <v>529</v>
      </c>
      <c r="M73" s="27" t="s">
        <v>522</v>
      </c>
      <c r="N73" s="21" t="s">
        <v>91</v>
      </c>
      <c r="O73" s="11"/>
    </row>
    <row r="74" customFormat="false" ht="15" hidden="false" customHeight="false" outlineLevel="0" collapsed="false">
      <c r="A74" s="21" t="n">
        <v>73</v>
      </c>
      <c r="B74" s="22" t="s">
        <v>326</v>
      </c>
      <c r="C74" s="22" t="s">
        <v>549</v>
      </c>
      <c r="D74" s="23" t="n">
        <v>110</v>
      </c>
      <c r="E74" s="21" t="n">
        <v>19</v>
      </c>
      <c r="F74" s="24" t="n">
        <v>1.53</v>
      </c>
      <c r="G74" s="23" t="n">
        <f aca="false">ROUND(D74*(100-E74)/100,0)</f>
        <v>89</v>
      </c>
      <c r="H74" s="29" t="s">
        <v>134</v>
      </c>
      <c r="I74" s="11" t="s">
        <v>528</v>
      </c>
      <c r="J74" s="22" t="s">
        <v>520</v>
      </c>
      <c r="K74" s="11" t="s">
        <v>321</v>
      </c>
      <c r="L74" s="28" t="s">
        <v>529</v>
      </c>
      <c r="M74" s="21" t="s">
        <v>526</v>
      </c>
      <c r="N74" s="21" t="s">
        <v>91</v>
      </c>
      <c r="O74" s="11"/>
    </row>
    <row r="75" customFormat="false" ht="15" hidden="false" customHeight="false" outlineLevel="0" collapsed="false">
      <c r="A75" s="21" t="n">
        <v>74</v>
      </c>
      <c r="B75" s="22" t="s">
        <v>291</v>
      </c>
      <c r="C75" s="22" t="s">
        <v>518</v>
      </c>
      <c r="D75" s="23" t="n">
        <v>90</v>
      </c>
      <c r="E75" s="21" t="n">
        <v>4</v>
      </c>
      <c r="F75" s="24" t="n">
        <v>0</v>
      </c>
      <c r="G75" s="23" t="n">
        <f aca="false">ROUND(D75*(100-E75)/100,0)</f>
        <v>86</v>
      </c>
      <c r="H75" s="29" t="s">
        <v>134</v>
      </c>
      <c r="I75" s="11" t="s">
        <v>571</v>
      </c>
      <c r="J75" s="22" t="s">
        <v>520</v>
      </c>
      <c r="K75" s="11" t="s">
        <v>290</v>
      </c>
      <c r="L75" s="28" t="s">
        <v>529</v>
      </c>
      <c r="M75" s="27" t="s">
        <v>522</v>
      </c>
      <c r="N75" s="21" t="s">
        <v>91</v>
      </c>
      <c r="O75" s="11"/>
    </row>
    <row r="76" customFormat="false" ht="15" hidden="false" customHeight="false" outlineLevel="0" collapsed="false">
      <c r="A76" s="21" t="n">
        <v>75</v>
      </c>
      <c r="B76" s="22" t="s">
        <v>595</v>
      </c>
      <c r="C76" s="22" t="s">
        <v>524</v>
      </c>
      <c r="D76" s="23" t="n">
        <v>90</v>
      </c>
      <c r="E76" s="21" t="n">
        <v>4</v>
      </c>
      <c r="F76" s="24" t="n">
        <v>3.6</v>
      </c>
      <c r="G76" s="23" t="n">
        <f aca="false">ROUND(D76*(100-E76)/100,0)</f>
        <v>86</v>
      </c>
      <c r="H76" s="29" t="s">
        <v>134</v>
      </c>
      <c r="I76" s="11" t="s">
        <v>569</v>
      </c>
      <c r="J76" s="22" t="s">
        <v>520</v>
      </c>
      <c r="K76" s="11" t="s">
        <v>119</v>
      </c>
      <c r="L76" s="28" t="s">
        <v>529</v>
      </c>
      <c r="M76" s="21" t="s">
        <v>526</v>
      </c>
      <c r="N76" s="21" t="s">
        <v>91</v>
      </c>
      <c r="O76" s="11"/>
    </row>
    <row r="77" customFormat="false" ht="15" hidden="false" customHeight="false" outlineLevel="0" collapsed="false">
      <c r="A77" s="21" t="n">
        <v>76</v>
      </c>
      <c r="B77" s="22" t="s">
        <v>596</v>
      </c>
      <c r="C77" s="22" t="s">
        <v>524</v>
      </c>
      <c r="D77" s="23" t="n">
        <v>90</v>
      </c>
      <c r="E77" s="21" t="n">
        <v>4</v>
      </c>
      <c r="F77" s="24" t="n">
        <v>2.92</v>
      </c>
      <c r="G77" s="23" t="n">
        <f aca="false">ROUND(D77*(100-E77)/100,0)</f>
        <v>86</v>
      </c>
      <c r="H77" s="29" t="s">
        <v>134</v>
      </c>
      <c r="I77" s="11" t="s">
        <v>543</v>
      </c>
      <c r="J77" s="22" t="s">
        <v>520</v>
      </c>
      <c r="K77" s="11" t="s">
        <v>100</v>
      </c>
      <c r="L77" s="28" t="s">
        <v>529</v>
      </c>
      <c r="M77" s="21" t="s">
        <v>526</v>
      </c>
      <c r="N77" s="21" t="s">
        <v>91</v>
      </c>
      <c r="O77" s="11"/>
    </row>
    <row r="78" customFormat="false" ht="15" hidden="false" customHeight="false" outlineLevel="0" collapsed="false">
      <c r="A78" s="21" t="n">
        <v>77</v>
      </c>
      <c r="B78" s="22" t="s">
        <v>597</v>
      </c>
      <c r="C78" s="22" t="s">
        <v>524</v>
      </c>
      <c r="D78" s="23" t="n">
        <v>90</v>
      </c>
      <c r="E78" s="21" t="n">
        <v>5</v>
      </c>
      <c r="F78" s="24" t="n">
        <v>3.95</v>
      </c>
      <c r="G78" s="23" t="n">
        <f aca="false">ROUND(D78*(100-E78)/100,0)</f>
        <v>86</v>
      </c>
      <c r="H78" s="29" t="s">
        <v>134</v>
      </c>
      <c r="I78" s="11" t="s">
        <v>532</v>
      </c>
      <c r="J78" s="22" t="s">
        <v>520</v>
      </c>
      <c r="K78" s="11" t="s">
        <v>69</v>
      </c>
      <c r="L78" s="26" t="s">
        <v>521</v>
      </c>
      <c r="M78" s="21" t="s">
        <v>526</v>
      </c>
      <c r="N78" s="21" t="s">
        <v>91</v>
      </c>
      <c r="O78" s="11"/>
    </row>
    <row r="79" customFormat="false" ht="15" hidden="false" customHeight="false" outlineLevel="0" collapsed="false">
      <c r="A79" s="21" t="n">
        <v>78</v>
      </c>
      <c r="B79" s="22" t="s">
        <v>598</v>
      </c>
      <c r="C79" s="22" t="s">
        <v>524</v>
      </c>
      <c r="D79" s="23" t="n">
        <v>90</v>
      </c>
      <c r="E79" s="21" t="n">
        <v>5</v>
      </c>
      <c r="F79" s="24" t="n">
        <v>0</v>
      </c>
      <c r="G79" s="23" t="n">
        <f aca="false">ROUND(D79*(100-E79)/100,0)</f>
        <v>86</v>
      </c>
      <c r="H79" s="29" t="s">
        <v>134</v>
      </c>
      <c r="I79" s="11" t="s">
        <v>538</v>
      </c>
      <c r="J79" s="22" t="s">
        <v>520</v>
      </c>
      <c r="K79" s="11" t="s">
        <v>113</v>
      </c>
      <c r="L79" s="26" t="s">
        <v>521</v>
      </c>
      <c r="M79" s="21" t="s">
        <v>526</v>
      </c>
      <c r="N79" s="21" t="s">
        <v>91</v>
      </c>
      <c r="O79" s="11"/>
    </row>
    <row r="80" customFormat="false" ht="15" hidden="false" customHeight="false" outlineLevel="0" collapsed="false">
      <c r="A80" s="21" t="n">
        <v>79</v>
      </c>
      <c r="B80" s="22" t="s">
        <v>218</v>
      </c>
      <c r="C80" s="22" t="s">
        <v>524</v>
      </c>
      <c r="D80" s="23" t="n">
        <v>90</v>
      </c>
      <c r="E80" s="21" t="n">
        <v>5</v>
      </c>
      <c r="F80" s="24" t="n">
        <v>1.15</v>
      </c>
      <c r="G80" s="23" t="n">
        <f aca="false">ROUND(D80*(100-E80)/100,0)</f>
        <v>86</v>
      </c>
      <c r="H80" s="29" t="s">
        <v>134</v>
      </c>
      <c r="I80" s="11" t="s">
        <v>571</v>
      </c>
      <c r="J80" s="22" t="s">
        <v>520</v>
      </c>
      <c r="K80" s="11" t="s">
        <v>217</v>
      </c>
      <c r="L80" s="28" t="s">
        <v>529</v>
      </c>
      <c r="M80" s="27" t="s">
        <v>522</v>
      </c>
      <c r="N80" s="21" t="s">
        <v>91</v>
      </c>
      <c r="O80" s="11"/>
    </row>
    <row r="81" customFormat="false" ht="15" hidden="false" customHeight="false" outlineLevel="0" collapsed="false">
      <c r="A81" s="21" t="n">
        <v>80</v>
      </c>
      <c r="B81" s="22" t="s">
        <v>599</v>
      </c>
      <c r="C81" s="22" t="s">
        <v>524</v>
      </c>
      <c r="D81" s="23" t="n">
        <v>90</v>
      </c>
      <c r="E81" s="21" t="n">
        <v>5</v>
      </c>
      <c r="F81" s="24" t="n">
        <v>2.92</v>
      </c>
      <c r="G81" s="23" t="n">
        <f aca="false">ROUND(D81*(100-E81)/100,0)</f>
        <v>86</v>
      </c>
      <c r="H81" s="29" t="s">
        <v>134</v>
      </c>
      <c r="I81" s="11" t="s">
        <v>543</v>
      </c>
      <c r="J81" s="22" t="s">
        <v>520</v>
      </c>
      <c r="K81" s="11" t="s">
        <v>100</v>
      </c>
      <c r="L81" s="28" t="s">
        <v>529</v>
      </c>
      <c r="M81" s="21" t="s">
        <v>526</v>
      </c>
      <c r="N81" s="21" t="s">
        <v>91</v>
      </c>
      <c r="O81" s="11"/>
    </row>
    <row r="82" customFormat="false" ht="15" hidden="false" customHeight="false" outlineLevel="0" collapsed="false">
      <c r="A82" s="21" t="n">
        <v>81</v>
      </c>
      <c r="B82" s="22" t="s">
        <v>600</v>
      </c>
      <c r="C82" s="22" t="s">
        <v>518</v>
      </c>
      <c r="D82" s="23" t="n">
        <v>90</v>
      </c>
      <c r="E82" s="21" t="n">
        <v>6</v>
      </c>
      <c r="F82" s="24" t="n">
        <v>0</v>
      </c>
      <c r="G82" s="23" t="n">
        <f aca="false">ROUND(D82*(100-E82)/100,0)</f>
        <v>85</v>
      </c>
      <c r="H82" s="29" t="s">
        <v>134</v>
      </c>
      <c r="I82" s="11" t="s">
        <v>543</v>
      </c>
      <c r="J82" s="22" t="s">
        <v>520</v>
      </c>
      <c r="K82" s="11" t="s">
        <v>100</v>
      </c>
      <c r="L82" s="28" t="s">
        <v>529</v>
      </c>
      <c r="M82" s="21" t="s">
        <v>526</v>
      </c>
      <c r="N82" s="21" t="s">
        <v>91</v>
      </c>
      <c r="O82" s="11"/>
    </row>
    <row r="83" customFormat="false" ht="15" hidden="false" customHeight="false" outlineLevel="0" collapsed="false">
      <c r="A83" s="21" t="n">
        <v>82</v>
      </c>
      <c r="B83" s="22" t="s">
        <v>182</v>
      </c>
      <c r="C83" s="22" t="s">
        <v>524</v>
      </c>
      <c r="D83" s="23" t="n">
        <v>90</v>
      </c>
      <c r="E83" s="21" t="n">
        <v>6</v>
      </c>
      <c r="F83" s="24" t="n">
        <v>0</v>
      </c>
      <c r="G83" s="23" t="n">
        <f aca="false">ROUND(D83*(100-E83)/100,0)</f>
        <v>85</v>
      </c>
      <c r="H83" s="29" t="s">
        <v>134</v>
      </c>
      <c r="I83" s="11" t="s">
        <v>561</v>
      </c>
      <c r="J83" s="22" t="s">
        <v>498</v>
      </c>
      <c r="K83" s="11" t="s">
        <v>181</v>
      </c>
      <c r="L83" s="28" t="s">
        <v>529</v>
      </c>
      <c r="M83" s="27" t="s">
        <v>522</v>
      </c>
      <c r="N83" s="21" t="s">
        <v>91</v>
      </c>
      <c r="O83" s="11"/>
    </row>
    <row r="84" customFormat="false" ht="15" hidden="false" customHeight="false" outlineLevel="0" collapsed="false">
      <c r="A84" s="21" t="n">
        <v>83</v>
      </c>
      <c r="B84" s="22" t="s">
        <v>601</v>
      </c>
      <c r="C84" s="22" t="s">
        <v>524</v>
      </c>
      <c r="D84" s="23" t="n">
        <v>90</v>
      </c>
      <c r="E84" s="21" t="n">
        <v>7</v>
      </c>
      <c r="F84" s="24" t="n">
        <v>1.5</v>
      </c>
      <c r="G84" s="23" t="n">
        <f aca="false">ROUND(D84*(100-E84)/100,0)</f>
        <v>84</v>
      </c>
      <c r="H84" s="29" t="s">
        <v>134</v>
      </c>
      <c r="I84" s="11" t="s">
        <v>561</v>
      </c>
      <c r="J84" s="22" t="s">
        <v>498</v>
      </c>
      <c r="K84" s="11" t="s">
        <v>132</v>
      </c>
      <c r="L84" s="28" t="s">
        <v>529</v>
      </c>
      <c r="M84" s="21" t="s">
        <v>526</v>
      </c>
      <c r="N84" s="21" t="s">
        <v>91</v>
      </c>
      <c r="O84" s="11"/>
    </row>
    <row r="85" customFormat="false" ht="15" hidden="false" customHeight="false" outlineLevel="0" collapsed="false">
      <c r="A85" s="21" t="n">
        <v>84</v>
      </c>
      <c r="B85" s="22" t="s">
        <v>602</v>
      </c>
      <c r="C85" s="22" t="s">
        <v>524</v>
      </c>
      <c r="D85" s="23" t="n">
        <v>90</v>
      </c>
      <c r="E85" s="21" t="n">
        <v>8</v>
      </c>
      <c r="F85" s="24" t="n">
        <v>10.31</v>
      </c>
      <c r="G85" s="23" t="n">
        <f aca="false">ROUND(D85*(100-E85)/100,0)</f>
        <v>83</v>
      </c>
      <c r="H85" s="25" t="s">
        <v>61</v>
      </c>
      <c r="I85" s="11" t="s">
        <v>532</v>
      </c>
      <c r="J85" s="22" t="s">
        <v>520</v>
      </c>
      <c r="K85" s="11" t="s">
        <v>69</v>
      </c>
      <c r="L85" s="26" t="s">
        <v>521</v>
      </c>
      <c r="M85" s="21" t="s">
        <v>526</v>
      </c>
      <c r="N85" s="21" t="s">
        <v>91</v>
      </c>
      <c r="O85" s="11"/>
    </row>
    <row r="86" customFormat="false" ht="15" hidden="false" customHeight="false" outlineLevel="0" collapsed="false">
      <c r="A86" s="21" t="n">
        <v>85</v>
      </c>
      <c r="B86" s="22" t="s">
        <v>603</v>
      </c>
      <c r="C86" s="22" t="s">
        <v>518</v>
      </c>
      <c r="D86" s="23" t="n">
        <v>90</v>
      </c>
      <c r="E86" s="21" t="n">
        <v>8</v>
      </c>
      <c r="F86" s="24" t="n">
        <v>2.08</v>
      </c>
      <c r="G86" s="23" t="n">
        <f aca="false">ROUND(D86*(100-E86)/100,0)</f>
        <v>83</v>
      </c>
      <c r="H86" s="29" t="s">
        <v>134</v>
      </c>
      <c r="I86" s="11" t="s">
        <v>538</v>
      </c>
      <c r="J86" s="22" t="s">
        <v>520</v>
      </c>
      <c r="K86" s="11" t="s">
        <v>113</v>
      </c>
      <c r="L86" s="26" t="s">
        <v>521</v>
      </c>
      <c r="M86" s="21" t="s">
        <v>526</v>
      </c>
      <c r="N86" s="21" t="s">
        <v>91</v>
      </c>
      <c r="O86" s="11"/>
    </row>
    <row r="87" customFormat="false" ht="15" hidden="false" customHeight="false" outlineLevel="0" collapsed="false">
      <c r="A87" s="21" t="n">
        <v>86</v>
      </c>
      <c r="B87" s="22" t="s">
        <v>359</v>
      </c>
      <c r="C87" s="22" t="s">
        <v>524</v>
      </c>
      <c r="D87" s="23" t="n">
        <v>90</v>
      </c>
      <c r="E87" s="21" t="n">
        <v>8</v>
      </c>
      <c r="F87" s="24" t="n">
        <v>0</v>
      </c>
      <c r="G87" s="23" t="n">
        <f aca="false">ROUND(D87*(100-E87)/100,0)</f>
        <v>83</v>
      </c>
      <c r="H87" s="29" t="s">
        <v>134</v>
      </c>
      <c r="I87" s="11" t="s">
        <v>561</v>
      </c>
      <c r="J87" s="22" t="s">
        <v>498</v>
      </c>
      <c r="K87" s="11" t="s">
        <v>358</v>
      </c>
      <c r="L87" s="28" t="s">
        <v>529</v>
      </c>
      <c r="M87" s="27" t="s">
        <v>522</v>
      </c>
      <c r="N87" s="21" t="s">
        <v>91</v>
      </c>
      <c r="O87" s="11"/>
    </row>
    <row r="88" customFormat="false" ht="15" hidden="false" customHeight="false" outlineLevel="0" collapsed="false">
      <c r="A88" s="21" t="n">
        <v>87</v>
      </c>
      <c r="B88" s="22" t="s">
        <v>604</v>
      </c>
      <c r="C88" s="22" t="s">
        <v>518</v>
      </c>
      <c r="D88" s="23" t="n">
        <v>90</v>
      </c>
      <c r="E88" s="21" t="n">
        <v>9</v>
      </c>
      <c r="F88" s="24" t="n">
        <v>1.53</v>
      </c>
      <c r="G88" s="23" t="n">
        <f aca="false">ROUND(D88*(100-E88)/100,0)</f>
        <v>82</v>
      </c>
      <c r="H88" s="29" t="s">
        <v>134</v>
      </c>
      <c r="I88" s="11" t="s">
        <v>528</v>
      </c>
      <c r="J88" s="22" t="s">
        <v>520</v>
      </c>
      <c r="K88" s="11" t="s">
        <v>85</v>
      </c>
      <c r="L88" s="28" t="s">
        <v>529</v>
      </c>
      <c r="M88" s="21" t="s">
        <v>526</v>
      </c>
      <c r="N88" s="21" t="s">
        <v>91</v>
      </c>
      <c r="O88" s="11"/>
    </row>
    <row r="89" customFormat="false" ht="15" hidden="false" customHeight="false" outlineLevel="0" collapsed="false">
      <c r="A89" s="21" t="n">
        <v>88</v>
      </c>
      <c r="B89" s="22" t="s">
        <v>605</v>
      </c>
      <c r="C89" s="22" t="s">
        <v>518</v>
      </c>
      <c r="D89" s="23" t="n">
        <v>90</v>
      </c>
      <c r="E89" s="21" t="n">
        <v>9</v>
      </c>
      <c r="F89" s="24" t="n">
        <v>1.75</v>
      </c>
      <c r="G89" s="23" t="n">
        <f aca="false">ROUND(D89*(100-E89)/100,0)</f>
        <v>82</v>
      </c>
      <c r="H89" s="29" t="s">
        <v>134</v>
      </c>
      <c r="I89" s="11" t="s">
        <v>528</v>
      </c>
      <c r="J89" s="22" t="s">
        <v>520</v>
      </c>
      <c r="K89" s="11" t="s">
        <v>210</v>
      </c>
      <c r="L89" s="28" t="s">
        <v>529</v>
      </c>
      <c r="M89" s="21" t="s">
        <v>526</v>
      </c>
      <c r="N89" s="21" t="s">
        <v>91</v>
      </c>
      <c r="O89" s="11"/>
    </row>
    <row r="90" customFormat="false" ht="15" hidden="false" customHeight="false" outlineLevel="0" collapsed="false">
      <c r="A90" s="21" t="n">
        <v>89</v>
      </c>
      <c r="B90" s="22" t="s">
        <v>606</v>
      </c>
      <c r="C90" s="22" t="s">
        <v>518</v>
      </c>
      <c r="D90" s="23" t="n">
        <v>90</v>
      </c>
      <c r="E90" s="21" t="n">
        <v>10</v>
      </c>
      <c r="F90" s="24" t="n">
        <v>1.42</v>
      </c>
      <c r="G90" s="23" t="n">
        <f aca="false">ROUND(D90*(100-E90)/100,0)</f>
        <v>81</v>
      </c>
      <c r="H90" s="29" t="s">
        <v>134</v>
      </c>
      <c r="I90" s="11" t="s">
        <v>528</v>
      </c>
      <c r="J90" s="22" t="s">
        <v>520</v>
      </c>
      <c r="K90" s="11" t="s">
        <v>164</v>
      </c>
      <c r="L90" s="28" t="s">
        <v>529</v>
      </c>
      <c r="M90" s="21" t="s">
        <v>526</v>
      </c>
      <c r="N90" s="21" t="s">
        <v>91</v>
      </c>
      <c r="O90" s="11"/>
    </row>
    <row r="91" customFormat="false" ht="15" hidden="false" customHeight="false" outlineLevel="0" collapsed="false">
      <c r="A91" s="21" t="n">
        <v>90</v>
      </c>
      <c r="B91" s="22" t="s">
        <v>607</v>
      </c>
      <c r="C91" s="22" t="s">
        <v>518</v>
      </c>
      <c r="D91" s="23" t="n">
        <v>90</v>
      </c>
      <c r="E91" s="21" t="n">
        <v>13</v>
      </c>
      <c r="F91" s="24" t="n">
        <v>1.75</v>
      </c>
      <c r="G91" s="23" t="n">
        <f aca="false">ROUND(D91*(100-E91)/100,0)</f>
        <v>78</v>
      </c>
      <c r="H91" s="29" t="s">
        <v>134</v>
      </c>
      <c r="I91" s="11" t="s">
        <v>528</v>
      </c>
      <c r="J91" s="22" t="s">
        <v>520</v>
      </c>
      <c r="K91" s="11" t="s">
        <v>210</v>
      </c>
      <c r="L91" s="28" t="s">
        <v>529</v>
      </c>
      <c r="M91" s="21" t="s">
        <v>526</v>
      </c>
      <c r="N91" s="21" t="s">
        <v>91</v>
      </c>
      <c r="O91" s="11"/>
    </row>
    <row r="92" customFormat="false" ht="15" hidden="false" customHeight="false" outlineLevel="0" collapsed="false">
      <c r="A92" s="21" t="n">
        <v>91</v>
      </c>
      <c r="B92" s="22" t="s">
        <v>608</v>
      </c>
      <c r="C92" s="22" t="s">
        <v>524</v>
      </c>
      <c r="D92" s="23" t="n">
        <v>90</v>
      </c>
      <c r="E92" s="21" t="n">
        <v>14</v>
      </c>
      <c r="F92" s="24" t="n">
        <v>8.63</v>
      </c>
      <c r="G92" s="23" t="n">
        <f aca="false">ROUND(D92*(100-E92)/100,0)</f>
        <v>77</v>
      </c>
      <c r="H92" s="25" t="s">
        <v>61</v>
      </c>
      <c r="I92" s="11" t="s">
        <v>532</v>
      </c>
      <c r="J92" s="22" t="s">
        <v>520</v>
      </c>
      <c r="K92" s="11" t="s">
        <v>69</v>
      </c>
      <c r="L92" s="26" t="s">
        <v>521</v>
      </c>
      <c r="M92" s="21" t="s">
        <v>526</v>
      </c>
      <c r="N92" s="21" t="s">
        <v>427</v>
      </c>
      <c r="O92" s="11" t="s">
        <v>69</v>
      </c>
    </row>
    <row r="93" customFormat="false" ht="15" hidden="false" customHeight="false" outlineLevel="0" collapsed="false">
      <c r="A93" s="21" t="n">
        <v>92</v>
      </c>
      <c r="B93" s="22" t="s">
        <v>609</v>
      </c>
      <c r="C93" s="22" t="s">
        <v>518</v>
      </c>
      <c r="D93" s="23" t="n">
        <v>70</v>
      </c>
      <c r="E93" s="21" t="n">
        <v>3</v>
      </c>
      <c r="F93" s="24" t="n">
        <v>0</v>
      </c>
      <c r="G93" s="23" t="n">
        <f aca="false">ROUND(D93*(100-E93)/100,0)</f>
        <v>68</v>
      </c>
      <c r="H93" s="31" t="s">
        <v>183</v>
      </c>
      <c r="I93" s="11" t="s">
        <v>543</v>
      </c>
      <c r="J93" s="22" t="s">
        <v>520</v>
      </c>
      <c r="K93" s="11" t="s">
        <v>100</v>
      </c>
      <c r="L93" s="28" t="s">
        <v>529</v>
      </c>
      <c r="M93" s="21" t="s">
        <v>526</v>
      </c>
      <c r="N93" s="21" t="s">
        <v>91</v>
      </c>
      <c r="O93" s="11"/>
    </row>
    <row r="94" customFormat="false" ht="15" hidden="false" customHeight="false" outlineLevel="0" collapsed="false">
      <c r="A94" s="21" t="n">
        <v>93</v>
      </c>
      <c r="B94" s="22" t="s">
        <v>610</v>
      </c>
      <c r="C94" s="22" t="s">
        <v>524</v>
      </c>
      <c r="D94" s="23" t="n">
        <v>70</v>
      </c>
      <c r="E94" s="21" t="n">
        <v>3</v>
      </c>
      <c r="F94" s="24" t="n">
        <v>0</v>
      </c>
      <c r="G94" s="23" t="n">
        <f aca="false">ROUND(D94*(100-E94)/100,0)</f>
        <v>68</v>
      </c>
      <c r="H94" s="30" t="s">
        <v>584</v>
      </c>
      <c r="I94" s="11" t="s">
        <v>585</v>
      </c>
      <c r="J94" s="22" t="s">
        <v>586</v>
      </c>
      <c r="K94" s="11" t="s">
        <v>284</v>
      </c>
      <c r="L94" s="28" t="s">
        <v>529</v>
      </c>
      <c r="M94" s="21" t="s">
        <v>526</v>
      </c>
      <c r="N94" s="21" t="s">
        <v>91</v>
      </c>
      <c r="O94" s="11"/>
    </row>
    <row r="95" customFormat="false" ht="15" hidden="false" customHeight="false" outlineLevel="0" collapsed="false">
      <c r="A95" s="21" t="n">
        <v>94</v>
      </c>
      <c r="B95" s="22" t="s">
        <v>154</v>
      </c>
      <c r="C95" s="22" t="s">
        <v>524</v>
      </c>
      <c r="D95" s="23" t="n">
        <v>70</v>
      </c>
      <c r="E95" s="21" t="n">
        <v>4</v>
      </c>
      <c r="F95" s="24" t="n">
        <v>0</v>
      </c>
      <c r="G95" s="23" t="n">
        <f aca="false">ROUND(D95*(100-E95)/100,0)</f>
        <v>67</v>
      </c>
      <c r="H95" s="31" t="s">
        <v>183</v>
      </c>
      <c r="I95" s="11" t="s">
        <v>588</v>
      </c>
      <c r="J95" s="22" t="s">
        <v>520</v>
      </c>
      <c r="K95" s="11" t="s">
        <v>153</v>
      </c>
      <c r="L95" s="28" t="s">
        <v>529</v>
      </c>
      <c r="M95" s="27" t="s">
        <v>522</v>
      </c>
      <c r="N95" s="21" t="s">
        <v>427</v>
      </c>
      <c r="O95" s="11" t="s">
        <v>153</v>
      </c>
    </row>
    <row r="96" customFormat="false" ht="15" hidden="false" customHeight="false" outlineLevel="0" collapsed="false">
      <c r="A96" s="21" t="n">
        <v>95</v>
      </c>
      <c r="B96" s="22" t="s">
        <v>149</v>
      </c>
      <c r="C96" s="22" t="s">
        <v>524</v>
      </c>
      <c r="D96" s="23" t="n">
        <v>70</v>
      </c>
      <c r="E96" s="21" t="n">
        <v>4</v>
      </c>
      <c r="F96" s="24" t="n">
        <v>1.68</v>
      </c>
      <c r="G96" s="23" t="n">
        <f aca="false">ROUND(D96*(100-E96)/100,0)</f>
        <v>67</v>
      </c>
      <c r="H96" s="31" t="s">
        <v>183</v>
      </c>
      <c r="I96" s="11" t="s">
        <v>561</v>
      </c>
      <c r="J96" s="22" t="s">
        <v>498</v>
      </c>
      <c r="K96" s="11" t="s">
        <v>148</v>
      </c>
      <c r="L96" s="28" t="s">
        <v>529</v>
      </c>
      <c r="M96" s="27" t="s">
        <v>522</v>
      </c>
      <c r="N96" s="21" t="s">
        <v>427</v>
      </c>
      <c r="O96" s="11" t="s">
        <v>570</v>
      </c>
    </row>
    <row r="97" customFormat="false" ht="15" hidden="false" customHeight="false" outlineLevel="0" collapsed="false">
      <c r="A97" s="21" t="n">
        <v>96</v>
      </c>
      <c r="B97" s="22" t="s">
        <v>152</v>
      </c>
      <c r="C97" s="22" t="s">
        <v>524</v>
      </c>
      <c r="D97" s="23" t="n">
        <v>70</v>
      </c>
      <c r="E97" s="21" t="n">
        <v>4</v>
      </c>
      <c r="F97" s="24" t="n">
        <v>1.77</v>
      </c>
      <c r="G97" s="23" t="n">
        <f aca="false">ROUND(D97*(100-E97)/100,0)</f>
        <v>67</v>
      </c>
      <c r="H97" s="31" t="s">
        <v>183</v>
      </c>
      <c r="I97" s="11" t="s">
        <v>561</v>
      </c>
      <c r="J97" s="22" t="s">
        <v>498</v>
      </c>
      <c r="K97" s="11" t="s">
        <v>148</v>
      </c>
      <c r="L97" s="28" t="s">
        <v>529</v>
      </c>
      <c r="M97" s="21" t="s">
        <v>526</v>
      </c>
      <c r="N97" s="21" t="s">
        <v>427</v>
      </c>
      <c r="O97" s="11" t="s">
        <v>570</v>
      </c>
    </row>
    <row r="98" customFormat="false" ht="15" hidden="false" customHeight="false" outlineLevel="0" collapsed="false">
      <c r="A98" s="21" t="n">
        <v>97</v>
      </c>
      <c r="B98" s="22" t="s">
        <v>611</v>
      </c>
      <c r="C98" s="22" t="s">
        <v>524</v>
      </c>
      <c r="D98" s="23" t="n">
        <v>70</v>
      </c>
      <c r="E98" s="21" t="n">
        <v>5</v>
      </c>
      <c r="F98" s="24" t="n">
        <v>2.77</v>
      </c>
      <c r="G98" s="23" t="n">
        <f aca="false">ROUND(D98*(100-E98)/100,0)</f>
        <v>67</v>
      </c>
      <c r="H98" s="31" t="s">
        <v>183</v>
      </c>
      <c r="I98" s="11" t="s">
        <v>531</v>
      </c>
      <c r="J98" s="22" t="s">
        <v>520</v>
      </c>
      <c r="K98" s="11" t="s">
        <v>76</v>
      </c>
      <c r="L98" s="26" t="s">
        <v>521</v>
      </c>
      <c r="M98" s="21" t="s">
        <v>526</v>
      </c>
      <c r="N98" s="21" t="s">
        <v>91</v>
      </c>
      <c r="O98" s="11"/>
    </row>
    <row r="99" customFormat="false" ht="15" hidden="false" customHeight="false" outlineLevel="0" collapsed="false">
      <c r="A99" s="21" t="n">
        <v>98</v>
      </c>
      <c r="B99" s="22" t="s">
        <v>612</v>
      </c>
      <c r="C99" s="22" t="s">
        <v>524</v>
      </c>
      <c r="D99" s="23" t="n">
        <v>70</v>
      </c>
      <c r="E99" s="21" t="n">
        <v>5</v>
      </c>
      <c r="F99" s="24" t="n">
        <v>0</v>
      </c>
      <c r="G99" s="23" t="n">
        <f aca="false">ROUND(D99*(100-E99)/100,0)</f>
        <v>67</v>
      </c>
      <c r="H99" s="31" t="s">
        <v>183</v>
      </c>
      <c r="I99" s="11" t="s">
        <v>532</v>
      </c>
      <c r="J99" s="22" t="s">
        <v>520</v>
      </c>
      <c r="K99" s="11" t="s">
        <v>69</v>
      </c>
      <c r="L99" s="26" t="s">
        <v>521</v>
      </c>
      <c r="M99" s="21" t="s">
        <v>526</v>
      </c>
      <c r="N99" s="21" t="s">
        <v>91</v>
      </c>
      <c r="O99" s="11"/>
    </row>
    <row r="100" customFormat="false" ht="15" hidden="false" customHeight="false" outlineLevel="0" collapsed="false">
      <c r="A100" s="21" t="n">
        <v>99</v>
      </c>
      <c r="B100" s="22" t="s">
        <v>613</v>
      </c>
      <c r="C100" s="22" t="s">
        <v>524</v>
      </c>
      <c r="D100" s="23" t="n">
        <v>70</v>
      </c>
      <c r="E100" s="21" t="n">
        <v>5</v>
      </c>
      <c r="F100" s="24" t="n">
        <v>10.15</v>
      </c>
      <c r="G100" s="23" t="n">
        <f aca="false">ROUND(D100*(100-E100)/100,0)</f>
        <v>67</v>
      </c>
      <c r="H100" s="31" t="s">
        <v>183</v>
      </c>
      <c r="I100" s="11" t="s">
        <v>569</v>
      </c>
      <c r="J100" s="22" t="s">
        <v>520</v>
      </c>
      <c r="K100" s="11" t="s">
        <v>119</v>
      </c>
      <c r="L100" s="28" t="s">
        <v>529</v>
      </c>
      <c r="M100" s="21" t="s">
        <v>526</v>
      </c>
      <c r="N100" s="21" t="s">
        <v>427</v>
      </c>
      <c r="O100" s="11" t="s">
        <v>119</v>
      </c>
    </row>
    <row r="101" customFormat="false" ht="15" hidden="false" customHeight="false" outlineLevel="0" collapsed="false">
      <c r="A101" s="21" t="n">
        <v>100</v>
      </c>
      <c r="B101" s="22" t="s">
        <v>614</v>
      </c>
      <c r="C101" s="22" t="s">
        <v>524</v>
      </c>
      <c r="D101" s="23" t="n">
        <v>70</v>
      </c>
      <c r="E101" s="21" t="n">
        <v>5</v>
      </c>
      <c r="F101" s="24" t="n">
        <v>0</v>
      </c>
      <c r="G101" s="23" t="n">
        <f aca="false">ROUND(D101*(100-E101)/100,0)</f>
        <v>67</v>
      </c>
      <c r="H101" s="30" t="s">
        <v>584</v>
      </c>
      <c r="I101" s="11" t="s">
        <v>585</v>
      </c>
      <c r="J101" s="22" t="s">
        <v>586</v>
      </c>
      <c r="K101" s="11" t="s">
        <v>284</v>
      </c>
      <c r="L101" s="28" t="s">
        <v>529</v>
      </c>
      <c r="M101" s="21" t="s">
        <v>526</v>
      </c>
      <c r="N101" s="21" t="s">
        <v>91</v>
      </c>
      <c r="O101" s="11"/>
    </row>
    <row r="102" customFormat="false" ht="15" hidden="false" customHeight="false" outlineLevel="0" collapsed="false">
      <c r="A102" s="21" t="n">
        <v>101</v>
      </c>
      <c r="B102" s="22" t="s">
        <v>615</v>
      </c>
      <c r="C102" s="22" t="s">
        <v>524</v>
      </c>
      <c r="D102" s="23" t="n">
        <v>70</v>
      </c>
      <c r="E102" s="21" t="n">
        <v>6</v>
      </c>
      <c r="F102" s="24" t="n">
        <v>0</v>
      </c>
      <c r="G102" s="23" t="n">
        <f aca="false">ROUND(D102*(100-E102)/100,0)</f>
        <v>66</v>
      </c>
      <c r="H102" s="31" t="s">
        <v>183</v>
      </c>
      <c r="I102" s="11" t="s">
        <v>532</v>
      </c>
      <c r="J102" s="22" t="s">
        <v>498</v>
      </c>
      <c r="K102" s="11" t="s">
        <v>69</v>
      </c>
      <c r="L102" s="26" t="s">
        <v>521</v>
      </c>
      <c r="M102" s="21" t="s">
        <v>526</v>
      </c>
      <c r="N102" s="21" t="s">
        <v>91</v>
      </c>
      <c r="O102" s="11"/>
    </row>
    <row r="103" customFormat="false" ht="15" hidden="false" customHeight="false" outlineLevel="0" collapsed="false">
      <c r="A103" s="21" t="n">
        <v>102</v>
      </c>
      <c r="B103" s="22" t="s">
        <v>616</v>
      </c>
      <c r="C103" s="22" t="s">
        <v>524</v>
      </c>
      <c r="D103" s="23" t="n">
        <v>70</v>
      </c>
      <c r="E103" s="21" t="n">
        <v>6</v>
      </c>
      <c r="F103" s="24" t="n">
        <v>0</v>
      </c>
      <c r="G103" s="23" t="n">
        <f aca="false">ROUND(D103*(100-E103)/100,0)</f>
        <v>66</v>
      </c>
      <c r="H103" s="30" t="s">
        <v>584</v>
      </c>
      <c r="I103" s="11" t="s">
        <v>585</v>
      </c>
      <c r="J103" s="22" t="s">
        <v>586</v>
      </c>
      <c r="K103" s="11" t="s">
        <v>284</v>
      </c>
      <c r="L103" s="28" t="s">
        <v>529</v>
      </c>
      <c r="M103" s="21" t="s">
        <v>526</v>
      </c>
      <c r="N103" s="21" t="s">
        <v>91</v>
      </c>
      <c r="O103" s="11"/>
    </row>
    <row r="104" customFormat="false" ht="15" hidden="false" customHeight="false" outlineLevel="0" collapsed="false">
      <c r="A104" s="21" t="n">
        <v>103</v>
      </c>
      <c r="B104" s="22" t="s">
        <v>617</v>
      </c>
      <c r="C104" s="22" t="s">
        <v>524</v>
      </c>
      <c r="D104" s="23" t="n">
        <v>70</v>
      </c>
      <c r="E104" s="21" t="n">
        <v>6</v>
      </c>
      <c r="F104" s="24" t="n">
        <v>0</v>
      </c>
      <c r="G104" s="23" t="n">
        <f aca="false">ROUND(D104*(100-E104)/100,0)</f>
        <v>66</v>
      </c>
      <c r="H104" s="30" t="s">
        <v>584</v>
      </c>
      <c r="I104" s="11" t="s">
        <v>585</v>
      </c>
      <c r="J104" s="22" t="s">
        <v>586</v>
      </c>
      <c r="K104" s="11" t="s">
        <v>284</v>
      </c>
      <c r="L104" s="28" t="s">
        <v>529</v>
      </c>
      <c r="M104" s="21" t="s">
        <v>526</v>
      </c>
      <c r="N104" s="21" t="s">
        <v>91</v>
      </c>
      <c r="O104" s="11"/>
    </row>
    <row r="105" customFormat="false" ht="15" hidden="false" customHeight="false" outlineLevel="0" collapsed="false">
      <c r="A105" s="21" t="n">
        <v>104</v>
      </c>
      <c r="B105" s="22" t="s">
        <v>618</v>
      </c>
      <c r="C105" s="22" t="s">
        <v>524</v>
      </c>
      <c r="D105" s="23" t="n">
        <v>70</v>
      </c>
      <c r="E105" s="21" t="n">
        <v>6</v>
      </c>
      <c r="F105" s="24" t="n">
        <v>0</v>
      </c>
      <c r="G105" s="23" t="n">
        <f aca="false">ROUND(D105*(100-E105)/100,0)</f>
        <v>66</v>
      </c>
      <c r="H105" s="30" t="s">
        <v>584</v>
      </c>
      <c r="I105" s="11" t="s">
        <v>585</v>
      </c>
      <c r="J105" s="22" t="s">
        <v>586</v>
      </c>
      <c r="K105" s="11" t="s">
        <v>284</v>
      </c>
      <c r="L105" s="28" t="s">
        <v>529</v>
      </c>
      <c r="M105" s="21" t="s">
        <v>526</v>
      </c>
      <c r="N105" s="21" t="s">
        <v>91</v>
      </c>
      <c r="O105" s="11"/>
    </row>
    <row r="106" customFormat="false" ht="15" hidden="false" customHeight="false" outlineLevel="0" collapsed="false">
      <c r="A106" s="21" t="n">
        <v>105</v>
      </c>
      <c r="B106" s="22" t="s">
        <v>619</v>
      </c>
      <c r="C106" s="22" t="s">
        <v>524</v>
      </c>
      <c r="D106" s="23" t="n">
        <v>70</v>
      </c>
      <c r="E106" s="21" t="n">
        <v>6</v>
      </c>
      <c r="F106" s="24" t="n">
        <v>2.54</v>
      </c>
      <c r="G106" s="23" t="n">
        <f aca="false">ROUND(D106*(100-E106)/100,0)</f>
        <v>66</v>
      </c>
      <c r="H106" s="30" t="s">
        <v>584</v>
      </c>
      <c r="I106" s="11" t="s">
        <v>585</v>
      </c>
      <c r="J106" s="22" t="s">
        <v>586</v>
      </c>
      <c r="K106" s="11" t="s">
        <v>284</v>
      </c>
      <c r="L106" s="28" t="s">
        <v>529</v>
      </c>
      <c r="M106" s="21" t="s">
        <v>526</v>
      </c>
      <c r="N106" s="21" t="s">
        <v>91</v>
      </c>
      <c r="O106" s="11"/>
    </row>
    <row r="107" customFormat="false" ht="15" hidden="false" customHeight="false" outlineLevel="0" collapsed="false">
      <c r="A107" s="21" t="n">
        <v>106</v>
      </c>
      <c r="B107" s="22" t="s">
        <v>257</v>
      </c>
      <c r="C107" s="22" t="s">
        <v>524</v>
      </c>
      <c r="D107" s="23" t="n">
        <v>70</v>
      </c>
      <c r="E107" s="21" t="n">
        <v>8</v>
      </c>
      <c r="F107" s="24" t="n">
        <v>2.85</v>
      </c>
      <c r="G107" s="23" t="n">
        <f aca="false">ROUND(D107*(100-E107)/100,0)</f>
        <v>64</v>
      </c>
      <c r="H107" s="31" t="s">
        <v>183</v>
      </c>
      <c r="I107" s="11" t="s">
        <v>620</v>
      </c>
      <c r="J107" s="22" t="s">
        <v>520</v>
      </c>
      <c r="K107" s="11" t="s">
        <v>256</v>
      </c>
      <c r="L107" s="28" t="s">
        <v>529</v>
      </c>
      <c r="M107" s="27" t="s">
        <v>522</v>
      </c>
      <c r="N107" s="21" t="s">
        <v>91</v>
      </c>
      <c r="O107" s="11"/>
    </row>
    <row r="108" customFormat="false" ht="15" hidden="false" customHeight="false" outlineLevel="0" collapsed="false">
      <c r="A108" s="21" t="n">
        <v>107</v>
      </c>
      <c r="B108" s="22" t="s">
        <v>621</v>
      </c>
      <c r="C108" s="22" t="s">
        <v>524</v>
      </c>
      <c r="D108" s="23" t="n">
        <v>70</v>
      </c>
      <c r="E108" s="21" t="n">
        <v>11</v>
      </c>
      <c r="F108" s="24" t="n">
        <v>1.54</v>
      </c>
      <c r="G108" s="23" t="n">
        <f aca="false">ROUND(D108*(100-E108)/100,0)</f>
        <v>62</v>
      </c>
      <c r="H108" s="31" t="s">
        <v>183</v>
      </c>
      <c r="I108" s="11" t="s">
        <v>571</v>
      </c>
      <c r="J108" s="22" t="s">
        <v>520</v>
      </c>
      <c r="K108" s="11" t="s">
        <v>217</v>
      </c>
      <c r="L108" s="28" t="s">
        <v>529</v>
      </c>
      <c r="M108" s="21" t="s">
        <v>526</v>
      </c>
      <c r="N108" s="21" t="s">
        <v>91</v>
      </c>
      <c r="O108" s="11"/>
    </row>
    <row r="109" customFormat="false" ht="15" hidden="false" customHeight="false" outlineLevel="0" collapsed="false">
      <c r="A109" s="21" t="n">
        <v>108</v>
      </c>
      <c r="B109" s="22" t="s">
        <v>622</v>
      </c>
      <c r="C109" s="22" t="s">
        <v>524</v>
      </c>
      <c r="D109" s="23" t="n">
        <v>70</v>
      </c>
      <c r="E109" s="21" t="n">
        <v>12</v>
      </c>
      <c r="F109" s="24" t="n">
        <v>1.98</v>
      </c>
      <c r="G109" s="23" t="n">
        <f aca="false">ROUND(D109*(100-E109)/100,0)</f>
        <v>62</v>
      </c>
      <c r="H109" s="31" t="s">
        <v>183</v>
      </c>
      <c r="I109" s="11" t="s">
        <v>531</v>
      </c>
      <c r="J109" s="22" t="s">
        <v>520</v>
      </c>
      <c r="K109" s="11" t="s">
        <v>76</v>
      </c>
      <c r="L109" s="26" t="s">
        <v>521</v>
      </c>
      <c r="M109" s="21" t="s">
        <v>526</v>
      </c>
      <c r="N109" s="21" t="s">
        <v>91</v>
      </c>
      <c r="O109" s="11"/>
    </row>
    <row r="110" customFormat="false" ht="15" hidden="false" customHeight="false" outlineLevel="0" collapsed="false">
      <c r="A110" s="21" t="n">
        <v>109</v>
      </c>
      <c r="B110" s="22" t="s">
        <v>623</v>
      </c>
      <c r="C110" s="22" t="s">
        <v>549</v>
      </c>
      <c r="D110" s="23" t="n">
        <v>70</v>
      </c>
      <c r="E110" s="21" t="n">
        <v>15</v>
      </c>
      <c r="F110" s="24" t="n">
        <v>1.63</v>
      </c>
      <c r="G110" s="23" t="n">
        <f aca="false">ROUND(D110*(100-E110)/100,0)</f>
        <v>60</v>
      </c>
      <c r="H110" s="31" t="s">
        <v>183</v>
      </c>
      <c r="I110" s="11" t="s">
        <v>528</v>
      </c>
      <c r="J110" s="22" t="s">
        <v>520</v>
      </c>
      <c r="K110" s="11" t="s">
        <v>85</v>
      </c>
      <c r="L110" s="28" t="s">
        <v>529</v>
      </c>
      <c r="M110" s="21" t="s">
        <v>526</v>
      </c>
      <c r="N110" s="21" t="s">
        <v>91</v>
      </c>
      <c r="O110" s="11"/>
    </row>
    <row r="111" customFormat="false" ht="15" hidden="false" customHeight="false" outlineLevel="0" collapsed="false">
      <c r="A111" s="21" t="n">
        <v>110</v>
      </c>
      <c r="B111" s="22" t="s">
        <v>624</v>
      </c>
      <c r="C111" s="22" t="s">
        <v>518</v>
      </c>
      <c r="D111" s="23" t="n">
        <v>70</v>
      </c>
      <c r="E111" s="21" t="n">
        <v>18</v>
      </c>
      <c r="F111" s="24" t="n">
        <v>2.21</v>
      </c>
      <c r="G111" s="23" t="n">
        <f aca="false">ROUND(D111*(100-E111)/100,0)</f>
        <v>57</v>
      </c>
      <c r="H111" s="31" t="s">
        <v>183</v>
      </c>
      <c r="I111" s="11" t="s">
        <v>531</v>
      </c>
      <c r="J111" s="22" t="s">
        <v>520</v>
      </c>
      <c r="K111" s="11" t="s">
        <v>76</v>
      </c>
      <c r="L111" s="26" t="s">
        <v>521</v>
      </c>
      <c r="M111" s="21" t="s">
        <v>526</v>
      </c>
      <c r="N111" s="21" t="s">
        <v>91</v>
      </c>
      <c r="O111" s="11"/>
    </row>
    <row r="112" customFormat="false" ht="15" hidden="false" customHeight="false" outlineLevel="0" collapsed="false">
      <c r="A112" s="21" t="n">
        <v>111</v>
      </c>
      <c r="B112" s="22" t="s">
        <v>625</v>
      </c>
      <c r="C112" s="22" t="s">
        <v>524</v>
      </c>
      <c r="D112" s="23" t="n">
        <v>70</v>
      </c>
      <c r="E112" s="21" t="n">
        <v>18</v>
      </c>
      <c r="F112" s="24" t="n">
        <v>2.01</v>
      </c>
      <c r="G112" s="23" t="n">
        <f aca="false">ROUND(D112*(100-E112)/100,0)</f>
        <v>57</v>
      </c>
      <c r="H112" s="31" t="s">
        <v>183</v>
      </c>
      <c r="I112" s="11" t="s">
        <v>553</v>
      </c>
      <c r="J112" s="22" t="s">
        <v>520</v>
      </c>
      <c r="K112" s="11" t="s">
        <v>93</v>
      </c>
      <c r="L112" s="26" t="s">
        <v>521</v>
      </c>
      <c r="M112" s="21" t="s">
        <v>526</v>
      </c>
      <c r="N112" s="21" t="s">
        <v>91</v>
      </c>
      <c r="O112" s="11"/>
    </row>
    <row r="113" customFormat="false" ht="15" hidden="false" customHeight="false" outlineLevel="0" collapsed="false">
      <c r="A113" s="21" t="n">
        <v>112</v>
      </c>
      <c r="B113" s="22" t="s">
        <v>626</v>
      </c>
      <c r="C113" s="22" t="s">
        <v>518</v>
      </c>
      <c r="D113" s="23" t="n">
        <v>70</v>
      </c>
      <c r="E113" s="21" t="n">
        <v>20</v>
      </c>
      <c r="F113" s="24" t="n">
        <v>2.44</v>
      </c>
      <c r="G113" s="23" t="n">
        <f aca="false">ROUND(D113*(100-E113)/100,0)</f>
        <v>56</v>
      </c>
      <c r="H113" s="31" t="s">
        <v>183</v>
      </c>
      <c r="I113" s="11" t="s">
        <v>531</v>
      </c>
      <c r="J113" s="22" t="s">
        <v>520</v>
      </c>
      <c r="K113" s="11" t="s">
        <v>76</v>
      </c>
      <c r="L113" s="26" t="s">
        <v>521</v>
      </c>
      <c r="M113" s="21" t="s">
        <v>526</v>
      </c>
      <c r="N113" s="21" t="s">
        <v>91</v>
      </c>
      <c r="O113" s="11"/>
    </row>
    <row r="114" customFormat="false" ht="15" hidden="false" customHeight="false" outlineLevel="0" collapsed="false">
      <c r="A114" s="21" t="n">
        <v>113</v>
      </c>
      <c r="B114" s="22" t="s">
        <v>159</v>
      </c>
      <c r="C114" s="22" t="s">
        <v>524</v>
      </c>
      <c r="D114" s="23" t="n">
        <v>50</v>
      </c>
      <c r="E114" s="21" t="n">
        <v>4</v>
      </c>
      <c r="F114" s="24" t="n">
        <v>0</v>
      </c>
      <c r="G114" s="23" t="n">
        <f aca="false">ROUND(D114*(100-E114)/100,0)</f>
        <v>48</v>
      </c>
      <c r="H114" s="31" t="s">
        <v>183</v>
      </c>
      <c r="I114" s="11" t="s">
        <v>588</v>
      </c>
      <c r="J114" s="22" t="s">
        <v>520</v>
      </c>
      <c r="K114" s="11" t="s">
        <v>158</v>
      </c>
      <c r="L114" s="28" t="s">
        <v>529</v>
      </c>
      <c r="M114" s="27" t="s">
        <v>522</v>
      </c>
      <c r="N114" s="21" t="s">
        <v>427</v>
      </c>
      <c r="O114" s="11" t="s">
        <v>158</v>
      </c>
    </row>
    <row r="115" customFormat="false" ht="15" hidden="false" customHeight="false" outlineLevel="0" collapsed="false">
      <c r="A115" s="21" t="n">
        <v>114</v>
      </c>
      <c r="B115" s="22" t="s">
        <v>627</v>
      </c>
      <c r="C115" s="22" t="s">
        <v>524</v>
      </c>
      <c r="D115" s="23" t="n">
        <v>50</v>
      </c>
      <c r="E115" s="21" t="n">
        <v>4</v>
      </c>
      <c r="F115" s="24" t="n">
        <v>1.36</v>
      </c>
      <c r="G115" s="23" t="n">
        <f aca="false">ROUND(D115*(100-E115)/100,0)</f>
        <v>48</v>
      </c>
      <c r="H115" s="31" t="s">
        <v>183</v>
      </c>
      <c r="I115" s="11" t="s">
        <v>561</v>
      </c>
      <c r="J115" s="22" t="s">
        <v>498</v>
      </c>
      <c r="K115" s="11" t="s">
        <v>358</v>
      </c>
      <c r="L115" s="28" t="s">
        <v>529</v>
      </c>
      <c r="M115" s="21" t="s">
        <v>526</v>
      </c>
      <c r="N115" s="21" t="s">
        <v>91</v>
      </c>
      <c r="O115" s="11"/>
    </row>
    <row r="116" customFormat="false" ht="15" hidden="false" customHeight="false" outlineLevel="0" collapsed="false">
      <c r="A116" s="21" t="n">
        <v>115</v>
      </c>
      <c r="B116" s="22" t="s">
        <v>628</v>
      </c>
      <c r="C116" s="22" t="s">
        <v>524</v>
      </c>
      <c r="D116" s="23" t="n">
        <v>50</v>
      </c>
      <c r="E116" s="21" t="n">
        <v>4</v>
      </c>
      <c r="F116" s="24" t="n">
        <v>0</v>
      </c>
      <c r="G116" s="23" t="n">
        <f aca="false">ROUND(D116*(100-E116)/100,0)</f>
        <v>48</v>
      </c>
      <c r="H116" s="30" t="s">
        <v>584</v>
      </c>
      <c r="I116" s="11" t="s">
        <v>585</v>
      </c>
      <c r="J116" s="22" t="s">
        <v>586</v>
      </c>
      <c r="K116" s="11" t="s">
        <v>284</v>
      </c>
      <c r="L116" s="28" t="s">
        <v>529</v>
      </c>
      <c r="M116" s="21" t="s">
        <v>526</v>
      </c>
      <c r="N116" s="21" t="s">
        <v>91</v>
      </c>
      <c r="O116" s="11"/>
    </row>
    <row r="117" customFormat="false" ht="15" hidden="false" customHeight="false" outlineLevel="0" collapsed="false">
      <c r="A117" s="21" t="n">
        <v>116</v>
      </c>
      <c r="B117" s="22" t="s">
        <v>629</v>
      </c>
      <c r="C117" s="22" t="s">
        <v>524</v>
      </c>
      <c r="D117" s="23" t="n">
        <v>50</v>
      </c>
      <c r="E117" s="21" t="n">
        <v>4</v>
      </c>
      <c r="F117" s="24" t="n">
        <v>0</v>
      </c>
      <c r="G117" s="23" t="n">
        <f aca="false">ROUND(D117*(100-E117)/100,0)</f>
        <v>48</v>
      </c>
      <c r="H117" s="30" t="s">
        <v>584</v>
      </c>
      <c r="I117" s="11" t="s">
        <v>585</v>
      </c>
      <c r="J117" s="22" t="s">
        <v>586</v>
      </c>
      <c r="K117" s="11" t="s">
        <v>284</v>
      </c>
      <c r="L117" s="28" t="s">
        <v>529</v>
      </c>
      <c r="M117" s="21" t="s">
        <v>526</v>
      </c>
      <c r="N117" s="21" t="s">
        <v>91</v>
      </c>
      <c r="O117" s="11"/>
    </row>
    <row r="118" customFormat="false" ht="15" hidden="false" customHeight="false" outlineLevel="0" collapsed="false">
      <c r="A118" s="21" t="n">
        <v>117</v>
      </c>
      <c r="B118" s="22" t="s">
        <v>630</v>
      </c>
      <c r="C118" s="22" t="s">
        <v>524</v>
      </c>
      <c r="D118" s="23" t="n">
        <v>50</v>
      </c>
      <c r="E118" s="21" t="n">
        <v>5</v>
      </c>
      <c r="F118" s="24" t="n">
        <v>1.38</v>
      </c>
      <c r="G118" s="23" t="n">
        <f aca="false">ROUND(D118*(100-E118)/100,0)</f>
        <v>48</v>
      </c>
      <c r="H118" s="31" t="s">
        <v>183</v>
      </c>
      <c r="I118" s="11" t="s">
        <v>588</v>
      </c>
      <c r="J118" s="22" t="s">
        <v>520</v>
      </c>
      <c r="K118" s="11" t="s">
        <v>59</v>
      </c>
      <c r="L118" s="26" t="s">
        <v>521</v>
      </c>
      <c r="M118" s="21" t="s">
        <v>526</v>
      </c>
      <c r="N118" s="21" t="s">
        <v>427</v>
      </c>
      <c r="O118" s="11" t="s">
        <v>59</v>
      </c>
    </row>
    <row r="119" customFormat="false" ht="15" hidden="false" customHeight="false" outlineLevel="0" collapsed="false">
      <c r="A119" s="21" t="n">
        <v>118</v>
      </c>
      <c r="B119" s="22" t="s">
        <v>631</v>
      </c>
      <c r="C119" s="22" t="s">
        <v>524</v>
      </c>
      <c r="D119" s="23" t="n">
        <v>50</v>
      </c>
      <c r="E119" s="21" t="n">
        <v>5</v>
      </c>
      <c r="F119" s="24" t="n">
        <v>2.57</v>
      </c>
      <c r="G119" s="23" t="n">
        <f aca="false">ROUND(D119*(100-E119)/100,0)</f>
        <v>48</v>
      </c>
      <c r="H119" s="31" t="s">
        <v>183</v>
      </c>
      <c r="I119" s="11" t="s">
        <v>519</v>
      </c>
      <c r="J119" s="22" t="s">
        <v>520</v>
      </c>
      <c r="K119" s="11" t="s">
        <v>59</v>
      </c>
      <c r="L119" s="26" t="s">
        <v>521</v>
      </c>
      <c r="M119" s="21" t="s">
        <v>526</v>
      </c>
      <c r="N119" s="21" t="s">
        <v>91</v>
      </c>
      <c r="O119" s="11"/>
    </row>
    <row r="120" customFormat="false" ht="15" hidden="false" customHeight="false" outlineLevel="0" collapsed="false">
      <c r="A120" s="21" t="n">
        <v>119</v>
      </c>
      <c r="B120" s="22" t="s">
        <v>225</v>
      </c>
      <c r="C120" s="22" t="s">
        <v>524</v>
      </c>
      <c r="D120" s="23" t="n">
        <v>50</v>
      </c>
      <c r="E120" s="21" t="n">
        <v>5</v>
      </c>
      <c r="F120" s="24" t="n">
        <v>0</v>
      </c>
      <c r="G120" s="23" t="n">
        <f aca="false">ROUND(D120*(100-E120)/100,0)</f>
        <v>48</v>
      </c>
      <c r="H120" s="31" t="s">
        <v>183</v>
      </c>
      <c r="I120" s="11" t="s">
        <v>620</v>
      </c>
      <c r="J120" s="22" t="s">
        <v>520</v>
      </c>
      <c r="K120" s="11" t="s">
        <v>224</v>
      </c>
      <c r="L120" s="28" t="s">
        <v>529</v>
      </c>
      <c r="M120" s="27" t="s">
        <v>522</v>
      </c>
      <c r="N120" s="21" t="s">
        <v>427</v>
      </c>
      <c r="O120" s="11" t="s">
        <v>224</v>
      </c>
    </row>
    <row r="121" customFormat="false" ht="15" hidden="false" customHeight="false" outlineLevel="0" collapsed="false">
      <c r="A121" s="21" t="n">
        <v>120</v>
      </c>
      <c r="B121" s="22" t="s">
        <v>365</v>
      </c>
      <c r="C121" s="22" t="s">
        <v>524</v>
      </c>
      <c r="D121" s="23" t="n">
        <v>50</v>
      </c>
      <c r="E121" s="21" t="n">
        <v>5</v>
      </c>
      <c r="F121" s="24" t="n">
        <v>1.24</v>
      </c>
      <c r="G121" s="23" t="n">
        <f aca="false">ROUND(D121*(100-E121)/100,0)</f>
        <v>48</v>
      </c>
      <c r="H121" s="31" t="s">
        <v>183</v>
      </c>
      <c r="I121" s="11" t="s">
        <v>561</v>
      </c>
      <c r="J121" s="22" t="s">
        <v>498</v>
      </c>
      <c r="K121" s="11" t="s">
        <v>364</v>
      </c>
      <c r="L121" s="28" t="s">
        <v>529</v>
      </c>
      <c r="M121" s="27" t="s">
        <v>522</v>
      </c>
      <c r="N121" s="21" t="s">
        <v>91</v>
      </c>
      <c r="O121" s="11"/>
    </row>
    <row r="122" customFormat="false" ht="15" hidden="false" customHeight="false" outlineLevel="0" collapsed="false">
      <c r="A122" s="21" t="n">
        <v>121</v>
      </c>
      <c r="B122" s="22" t="s">
        <v>632</v>
      </c>
      <c r="C122" s="22" t="s">
        <v>524</v>
      </c>
      <c r="D122" s="23" t="n">
        <v>50</v>
      </c>
      <c r="E122" s="21" t="n">
        <v>5</v>
      </c>
      <c r="F122" s="24" t="n">
        <v>1.36</v>
      </c>
      <c r="G122" s="23" t="n">
        <f aca="false">ROUND(D122*(100-E122)/100,0)</f>
        <v>48</v>
      </c>
      <c r="H122" s="31" t="s">
        <v>183</v>
      </c>
      <c r="I122" s="11" t="s">
        <v>561</v>
      </c>
      <c r="J122" s="22" t="s">
        <v>498</v>
      </c>
      <c r="K122" s="11" t="s">
        <v>358</v>
      </c>
      <c r="L122" s="28" t="s">
        <v>529</v>
      </c>
      <c r="M122" s="21" t="s">
        <v>526</v>
      </c>
      <c r="N122" s="21" t="s">
        <v>91</v>
      </c>
      <c r="O122" s="11"/>
    </row>
    <row r="123" customFormat="false" ht="15" hidden="false" customHeight="false" outlineLevel="0" collapsed="false">
      <c r="A123" s="21" t="n">
        <v>122</v>
      </c>
      <c r="B123" s="22" t="s">
        <v>633</v>
      </c>
      <c r="C123" s="22" t="s">
        <v>524</v>
      </c>
      <c r="D123" s="23" t="n">
        <v>50</v>
      </c>
      <c r="E123" s="21" t="n">
        <v>5</v>
      </c>
      <c r="F123" s="24" t="n">
        <v>0</v>
      </c>
      <c r="G123" s="23" t="n">
        <f aca="false">ROUND(D123*(100-E123)/100,0)</f>
        <v>48</v>
      </c>
      <c r="H123" s="30" t="s">
        <v>584</v>
      </c>
      <c r="I123" s="11" t="s">
        <v>585</v>
      </c>
      <c r="J123" s="22" t="s">
        <v>586</v>
      </c>
      <c r="K123" s="11" t="s">
        <v>284</v>
      </c>
      <c r="L123" s="28" t="s">
        <v>529</v>
      </c>
      <c r="M123" s="21" t="s">
        <v>526</v>
      </c>
      <c r="N123" s="21" t="s">
        <v>91</v>
      </c>
      <c r="O123" s="11"/>
    </row>
    <row r="124" customFormat="false" ht="15" hidden="false" customHeight="false" outlineLevel="0" collapsed="false">
      <c r="A124" s="21" t="n">
        <v>123</v>
      </c>
      <c r="B124" s="22" t="s">
        <v>634</v>
      </c>
      <c r="C124" s="22" t="s">
        <v>524</v>
      </c>
      <c r="D124" s="23" t="n">
        <v>50</v>
      </c>
      <c r="E124" s="21" t="n">
        <v>5</v>
      </c>
      <c r="F124" s="24" t="n">
        <v>0</v>
      </c>
      <c r="G124" s="23" t="n">
        <f aca="false">ROUND(D124*(100-E124)/100,0)</f>
        <v>48</v>
      </c>
      <c r="H124" s="30" t="s">
        <v>584</v>
      </c>
      <c r="I124" s="11" t="s">
        <v>585</v>
      </c>
      <c r="J124" s="22" t="s">
        <v>586</v>
      </c>
      <c r="K124" s="11" t="s">
        <v>284</v>
      </c>
      <c r="L124" s="28" t="s">
        <v>529</v>
      </c>
      <c r="M124" s="21" t="s">
        <v>526</v>
      </c>
      <c r="N124" s="21" t="s">
        <v>91</v>
      </c>
      <c r="O124" s="11"/>
    </row>
    <row r="125" customFormat="false" ht="15" hidden="false" customHeight="false" outlineLevel="0" collapsed="false">
      <c r="A125" s="21" t="n">
        <v>124</v>
      </c>
      <c r="B125" s="22" t="s">
        <v>635</v>
      </c>
      <c r="C125" s="22" t="s">
        <v>524</v>
      </c>
      <c r="D125" s="23" t="n">
        <v>50</v>
      </c>
      <c r="E125" s="21" t="n">
        <v>6</v>
      </c>
      <c r="F125" s="24" t="n">
        <v>2.69</v>
      </c>
      <c r="G125" s="23" t="n">
        <f aca="false">ROUND(D125*(100-E125)/100,0)</f>
        <v>47</v>
      </c>
      <c r="H125" s="31" t="s">
        <v>183</v>
      </c>
      <c r="I125" s="11" t="s">
        <v>553</v>
      </c>
      <c r="J125" s="22" t="s">
        <v>520</v>
      </c>
      <c r="K125" s="11" t="s">
        <v>93</v>
      </c>
      <c r="L125" s="26" t="s">
        <v>521</v>
      </c>
      <c r="M125" s="21" t="s">
        <v>526</v>
      </c>
      <c r="N125" s="21" t="s">
        <v>427</v>
      </c>
      <c r="O125" s="11" t="s">
        <v>93</v>
      </c>
    </row>
    <row r="126" customFormat="false" ht="15" hidden="false" customHeight="false" outlineLevel="0" collapsed="false">
      <c r="A126" s="21" t="n">
        <v>125</v>
      </c>
      <c r="B126" s="22" t="s">
        <v>188</v>
      </c>
      <c r="C126" s="22" t="s">
        <v>524</v>
      </c>
      <c r="D126" s="23" t="n">
        <v>50</v>
      </c>
      <c r="E126" s="21" t="n">
        <v>6</v>
      </c>
      <c r="F126" s="24" t="n">
        <v>0</v>
      </c>
      <c r="G126" s="23" t="n">
        <f aca="false">ROUND(D126*(100-E126)/100,0)</f>
        <v>47</v>
      </c>
      <c r="H126" s="31" t="s">
        <v>183</v>
      </c>
      <c r="I126" s="11" t="s">
        <v>561</v>
      </c>
      <c r="J126" s="22" t="s">
        <v>520</v>
      </c>
      <c r="K126" s="11" t="s">
        <v>187</v>
      </c>
      <c r="L126" s="28" t="s">
        <v>529</v>
      </c>
      <c r="M126" s="27" t="s">
        <v>522</v>
      </c>
      <c r="N126" s="21" t="s">
        <v>427</v>
      </c>
      <c r="O126" s="11" t="s">
        <v>570</v>
      </c>
    </row>
    <row r="127" customFormat="false" ht="15" hidden="false" customHeight="false" outlineLevel="0" collapsed="false">
      <c r="A127" s="21" t="n">
        <v>126</v>
      </c>
      <c r="B127" s="22" t="s">
        <v>636</v>
      </c>
      <c r="C127" s="22" t="s">
        <v>524</v>
      </c>
      <c r="D127" s="23" t="n">
        <v>50</v>
      </c>
      <c r="E127" s="21" t="n">
        <v>6</v>
      </c>
      <c r="F127" s="24" t="n">
        <v>1.5</v>
      </c>
      <c r="G127" s="23" t="n">
        <f aca="false">ROUND(D127*(100-E127)/100,0)</f>
        <v>47</v>
      </c>
      <c r="H127" s="31" t="s">
        <v>183</v>
      </c>
      <c r="I127" s="11" t="s">
        <v>561</v>
      </c>
      <c r="J127" s="22" t="s">
        <v>498</v>
      </c>
      <c r="K127" s="11" t="s">
        <v>132</v>
      </c>
      <c r="L127" s="28" t="s">
        <v>529</v>
      </c>
      <c r="M127" s="21" t="s">
        <v>526</v>
      </c>
      <c r="N127" s="21" t="s">
        <v>427</v>
      </c>
      <c r="O127" s="11" t="s">
        <v>570</v>
      </c>
    </row>
    <row r="128" customFormat="false" ht="15" hidden="false" customHeight="false" outlineLevel="0" collapsed="false">
      <c r="A128" s="21" t="n">
        <v>127</v>
      </c>
      <c r="B128" s="22" t="s">
        <v>370</v>
      </c>
      <c r="C128" s="22" t="s">
        <v>524</v>
      </c>
      <c r="D128" s="23" t="n">
        <v>50</v>
      </c>
      <c r="E128" s="21" t="n">
        <v>6</v>
      </c>
      <c r="F128" s="24" t="n">
        <v>0</v>
      </c>
      <c r="G128" s="23" t="n">
        <f aca="false">ROUND(D128*(100-E128)/100,0)</f>
        <v>47</v>
      </c>
      <c r="H128" s="31" t="s">
        <v>183</v>
      </c>
      <c r="I128" s="11" t="s">
        <v>561</v>
      </c>
      <c r="J128" s="22" t="s">
        <v>498</v>
      </c>
      <c r="K128" s="11" t="s">
        <v>369</v>
      </c>
      <c r="L128" s="28" t="s">
        <v>529</v>
      </c>
      <c r="M128" s="27" t="s">
        <v>522</v>
      </c>
      <c r="N128" s="21" t="s">
        <v>91</v>
      </c>
      <c r="O128" s="11"/>
    </row>
    <row r="129" customFormat="false" ht="15" hidden="false" customHeight="false" outlineLevel="0" collapsed="false">
      <c r="A129" s="21" t="n">
        <v>128</v>
      </c>
      <c r="B129" s="22" t="s">
        <v>637</v>
      </c>
      <c r="C129" s="22" t="s">
        <v>524</v>
      </c>
      <c r="D129" s="23" t="n">
        <v>50</v>
      </c>
      <c r="E129" s="21" t="n">
        <v>6</v>
      </c>
      <c r="F129" s="24" t="n">
        <v>2.01</v>
      </c>
      <c r="G129" s="23" t="n">
        <f aca="false">ROUND(D129*(100-E129)/100,0)</f>
        <v>47</v>
      </c>
      <c r="H129" s="30" t="s">
        <v>584</v>
      </c>
      <c r="I129" s="11" t="s">
        <v>585</v>
      </c>
      <c r="J129" s="22" t="s">
        <v>586</v>
      </c>
      <c r="K129" s="11" t="s">
        <v>284</v>
      </c>
      <c r="L129" s="28" t="s">
        <v>529</v>
      </c>
      <c r="M129" s="21" t="s">
        <v>526</v>
      </c>
      <c r="N129" s="21" t="s">
        <v>91</v>
      </c>
      <c r="O129" s="11"/>
    </row>
    <row r="130" customFormat="false" ht="15" hidden="false" customHeight="false" outlineLevel="0" collapsed="false">
      <c r="A130" s="21" t="n">
        <v>129</v>
      </c>
      <c r="B130" s="22" t="s">
        <v>638</v>
      </c>
      <c r="C130" s="22" t="s">
        <v>524</v>
      </c>
      <c r="D130" s="23" t="n">
        <v>50</v>
      </c>
      <c r="E130" s="21" t="n">
        <v>6</v>
      </c>
      <c r="F130" s="24" t="n">
        <v>0</v>
      </c>
      <c r="G130" s="23" t="n">
        <f aca="false">ROUND(D130*(100-E130)/100,0)</f>
        <v>47</v>
      </c>
      <c r="H130" s="30" t="s">
        <v>584</v>
      </c>
      <c r="I130" s="11" t="s">
        <v>585</v>
      </c>
      <c r="J130" s="22" t="s">
        <v>586</v>
      </c>
      <c r="K130" s="11" t="s">
        <v>284</v>
      </c>
      <c r="L130" s="28" t="s">
        <v>529</v>
      </c>
      <c r="M130" s="21" t="s">
        <v>526</v>
      </c>
      <c r="N130" s="21" t="s">
        <v>91</v>
      </c>
      <c r="O130" s="11"/>
    </row>
    <row r="131" customFormat="false" ht="15" hidden="false" customHeight="false" outlineLevel="0" collapsed="false">
      <c r="A131" s="21" t="n">
        <v>130</v>
      </c>
      <c r="B131" s="22" t="s">
        <v>639</v>
      </c>
      <c r="C131" s="22" t="s">
        <v>518</v>
      </c>
      <c r="D131" s="23" t="n">
        <v>50</v>
      </c>
      <c r="E131" s="21" t="n">
        <v>7</v>
      </c>
      <c r="F131" s="24" t="n">
        <v>2.11</v>
      </c>
      <c r="G131" s="23" t="n">
        <f aca="false">ROUND(D131*(100-E131)/100,0)</f>
        <v>47</v>
      </c>
      <c r="H131" s="31" t="s">
        <v>183</v>
      </c>
      <c r="I131" s="11" t="s">
        <v>519</v>
      </c>
      <c r="J131" s="22" t="s">
        <v>520</v>
      </c>
      <c r="K131" s="11" t="s">
        <v>59</v>
      </c>
      <c r="L131" s="26" t="s">
        <v>521</v>
      </c>
      <c r="M131" s="21" t="s">
        <v>526</v>
      </c>
      <c r="N131" s="21" t="s">
        <v>91</v>
      </c>
      <c r="O131" s="11"/>
    </row>
    <row r="132" customFormat="false" ht="15" hidden="false" customHeight="false" outlineLevel="0" collapsed="false">
      <c r="A132" s="21" t="n">
        <v>131</v>
      </c>
      <c r="B132" s="22" t="s">
        <v>640</v>
      </c>
      <c r="C132" s="22" t="s">
        <v>524</v>
      </c>
      <c r="D132" s="23" t="n">
        <v>50</v>
      </c>
      <c r="E132" s="21" t="n">
        <v>7</v>
      </c>
      <c r="F132" s="24" t="n">
        <v>1.87</v>
      </c>
      <c r="G132" s="23" t="n">
        <f aca="false">ROUND(D132*(100-E132)/100,0)</f>
        <v>47</v>
      </c>
      <c r="H132" s="31" t="s">
        <v>183</v>
      </c>
      <c r="I132" s="11" t="s">
        <v>531</v>
      </c>
      <c r="J132" s="22" t="s">
        <v>520</v>
      </c>
      <c r="K132" s="11" t="s">
        <v>76</v>
      </c>
      <c r="L132" s="26" t="s">
        <v>521</v>
      </c>
      <c r="M132" s="21" t="s">
        <v>526</v>
      </c>
      <c r="N132" s="21" t="s">
        <v>91</v>
      </c>
      <c r="O132" s="11"/>
    </row>
    <row r="133" customFormat="false" ht="15" hidden="false" customHeight="false" outlineLevel="0" collapsed="false">
      <c r="A133" s="21" t="n">
        <v>132</v>
      </c>
      <c r="B133" s="22" t="s">
        <v>641</v>
      </c>
      <c r="C133" s="22" t="s">
        <v>524</v>
      </c>
      <c r="D133" s="23" t="n">
        <v>50</v>
      </c>
      <c r="E133" s="21" t="n">
        <v>7</v>
      </c>
      <c r="F133" s="24" t="n">
        <v>4.87</v>
      </c>
      <c r="G133" s="23" t="n">
        <f aca="false">ROUND(D133*(100-E133)/100,0)</f>
        <v>47</v>
      </c>
      <c r="H133" s="31" t="s">
        <v>183</v>
      </c>
      <c r="I133" s="11" t="s">
        <v>569</v>
      </c>
      <c r="J133" s="22" t="s">
        <v>520</v>
      </c>
      <c r="K133" s="11" t="s">
        <v>119</v>
      </c>
      <c r="L133" s="28" t="s">
        <v>529</v>
      </c>
      <c r="M133" s="21" t="s">
        <v>526</v>
      </c>
      <c r="N133" s="21" t="s">
        <v>91</v>
      </c>
      <c r="O133" s="11"/>
    </row>
    <row r="134" customFormat="false" ht="15" hidden="false" customHeight="false" outlineLevel="0" collapsed="false">
      <c r="A134" s="21" t="n">
        <v>133</v>
      </c>
      <c r="B134" s="22" t="s">
        <v>642</v>
      </c>
      <c r="C134" s="22" t="s">
        <v>524</v>
      </c>
      <c r="D134" s="23" t="n">
        <v>50</v>
      </c>
      <c r="E134" s="21" t="n">
        <v>8</v>
      </c>
      <c r="F134" s="24" t="n">
        <v>1.18</v>
      </c>
      <c r="G134" s="23" t="n">
        <f aca="false">ROUND(D134*(100-E134)/100,0)</f>
        <v>46</v>
      </c>
      <c r="H134" s="31" t="s">
        <v>183</v>
      </c>
      <c r="I134" s="11" t="s">
        <v>528</v>
      </c>
      <c r="J134" s="22" t="s">
        <v>520</v>
      </c>
      <c r="K134" s="11" t="s">
        <v>170</v>
      </c>
      <c r="L134" s="28" t="s">
        <v>529</v>
      </c>
      <c r="M134" s="21" t="s">
        <v>526</v>
      </c>
      <c r="N134" s="21" t="s">
        <v>91</v>
      </c>
      <c r="O134" s="11"/>
    </row>
    <row r="135" customFormat="false" ht="15" hidden="false" customHeight="false" outlineLevel="0" collapsed="false">
      <c r="A135" s="21" t="n">
        <v>134</v>
      </c>
      <c r="B135" s="22" t="s">
        <v>643</v>
      </c>
      <c r="C135" s="22" t="s">
        <v>524</v>
      </c>
      <c r="D135" s="23" t="n">
        <v>50</v>
      </c>
      <c r="E135" s="21" t="n">
        <v>9</v>
      </c>
      <c r="F135" s="24" t="n">
        <v>0</v>
      </c>
      <c r="G135" s="23" t="n">
        <f aca="false">ROUND(D135*(100-E135)/100,0)</f>
        <v>46</v>
      </c>
      <c r="H135" s="31" t="s">
        <v>183</v>
      </c>
      <c r="I135" s="11" t="s">
        <v>571</v>
      </c>
      <c r="J135" s="22" t="s">
        <v>520</v>
      </c>
      <c r="K135" s="11" t="s">
        <v>217</v>
      </c>
      <c r="L135" s="28" t="s">
        <v>529</v>
      </c>
      <c r="M135" s="21" t="s">
        <v>526</v>
      </c>
      <c r="N135" s="21" t="s">
        <v>91</v>
      </c>
      <c r="O135" s="11"/>
    </row>
    <row r="136" customFormat="false" ht="15" hidden="false" customHeight="false" outlineLevel="0" collapsed="false">
      <c r="A136" s="21" t="n">
        <v>135</v>
      </c>
      <c r="B136" s="22" t="s">
        <v>644</v>
      </c>
      <c r="C136" s="22" t="s">
        <v>524</v>
      </c>
      <c r="D136" s="23" t="n">
        <v>50</v>
      </c>
      <c r="E136" s="21" t="n">
        <v>9</v>
      </c>
      <c r="F136" s="24" t="n">
        <v>2.01</v>
      </c>
      <c r="G136" s="23" t="n">
        <f aca="false">ROUND(D136*(100-E136)/100,0)</f>
        <v>46</v>
      </c>
      <c r="H136" s="31" t="s">
        <v>183</v>
      </c>
      <c r="I136" s="11" t="s">
        <v>585</v>
      </c>
      <c r="J136" s="22" t="s">
        <v>498</v>
      </c>
      <c r="K136" s="11" t="s">
        <v>284</v>
      </c>
      <c r="L136" s="28" t="s">
        <v>529</v>
      </c>
      <c r="M136" s="21" t="s">
        <v>526</v>
      </c>
      <c r="N136" s="21" t="s">
        <v>91</v>
      </c>
      <c r="O136" s="11"/>
    </row>
    <row r="137" customFormat="false" ht="15" hidden="false" customHeight="false" outlineLevel="0" collapsed="false">
      <c r="A137" s="21" t="n">
        <v>136</v>
      </c>
      <c r="B137" s="22" t="s">
        <v>260</v>
      </c>
      <c r="C137" s="22" t="s">
        <v>518</v>
      </c>
      <c r="D137" s="23" t="n">
        <v>50</v>
      </c>
      <c r="E137" s="21" t="n">
        <v>11</v>
      </c>
      <c r="F137" s="24" t="n">
        <v>0</v>
      </c>
      <c r="G137" s="23" t="n">
        <f aca="false">ROUND(D137*(100-E137)/100,0)</f>
        <v>45</v>
      </c>
      <c r="H137" s="31" t="s">
        <v>183</v>
      </c>
      <c r="I137" s="11" t="s">
        <v>620</v>
      </c>
      <c r="J137" s="22" t="s">
        <v>520</v>
      </c>
      <c r="K137" s="11" t="s">
        <v>256</v>
      </c>
      <c r="L137" s="28" t="s">
        <v>529</v>
      </c>
      <c r="M137" s="21" t="s">
        <v>526</v>
      </c>
      <c r="N137" s="21" t="s">
        <v>91</v>
      </c>
      <c r="O137" s="11"/>
    </row>
    <row r="138" customFormat="false" ht="15" hidden="false" customHeight="false" outlineLevel="0" collapsed="false">
      <c r="A138" s="21" t="n">
        <v>137</v>
      </c>
      <c r="B138" s="22" t="s">
        <v>645</v>
      </c>
      <c r="C138" s="22" t="s">
        <v>518</v>
      </c>
      <c r="D138" s="23" t="n">
        <v>50</v>
      </c>
      <c r="E138" s="21" t="n">
        <v>15</v>
      </c>
      <c r="F138" s="24" t="n">
        <v>0</v>
      </c>
      <c r="G138" s="23" t="n">
        <f aca="false">ROUND(D138*(100-E138)/100,0)</f>
        <v>43</v>
      </c>
      <c r="H138" s="31" t="s">
        <v>183</v>
      </c>
      <c r="I138" s="11" t="s">
        <v>532</v>
      </c>
      <c r="J138" s="22" t="s">
        <v>520</v>
      </c>
      <c r="K138" s="11" t="s">
        <v>69</v>
      </c>
      <c r="L138" s="26" t="s">
        <v>521</v>
      </c>
      <c r="M138" s="21" t="s">
        <v>526</v>
      </c>
      <c r="N138" s="21" t="s">
        <v>91</v>
      </c>
      <c r="O138" s="11"/>
    </row>
    <row r="139" customFormat="false" ht="15" hidden="false" customHeight="false" outlineLevel="0" collapsed="false">
      <c r="A139" s="21" t="n">
        <v>138</v>
      </c>
      <c r="B139" s="22" t="s">
        <v>646</v>
      </c>
      <c r="C139" s="22" t="s">
        <v>524</v>
      </c>
      <c r="D139" s="23" t="n">
        <v>50</v>
      </c>
      <c r="E139" s="21" t="n">
        <v>17</v>
      </c>
      <c r="F139" s="24" t="n">
        <v>2.69</v>
      </c>
      <c r="G139" s="23" t="n">
        <f aca="false">ROUND(D139*(100-E139)/100,0)</f>
        <v>42</v>
      </c>
      <c r="H139" s="31" t="s">
        <v>183</v>
      </c>
      <c r="I139" s="11" t="s">
        <v>553</v>
      </c>
      <c r="J139" s="22" t="s">
        <v>520</v>
      </c>
      <c r="K139" s="11" t="s">
        <v>93</v>
      </c>
      <c r="L139" s="26" t="s">
        <v>521</v>
      </c>
      <c r="M139" s="21" t="s">
        <v>526</v>
      </c>
      <c r="N139" s="21" t="s">
        <v>91</v>
      </c>
      <c r="O139" s="11"/>
    </row>
    <row r="140" customFormat="false" ht="15" hidden="false" customHeight="false" outlineLevel="0" collapsed="false">
      <c r="A140" s="21" t="n">
        <v>139</v>
      </c>
      <c r="B140" s="22" t="s">
        <v>647</v>
      </c>
      <c r="C140" s="22" t="s">
        <v>518</v>
      </c>
      <c r="D140" s="23" t="n">
        <v>50</v>
      </c>
      <c r="E140" s="21" t="n">
        <v>18</v>
      </c>
      <c r="F140" s="24" t="n">
        <v>2</v>
      </c>
      <c r="G140" s="23" t="n">
        <f aca="false">ROUND(D140*(100-E140)/100,0)</f>
        <v>41</v>
      </c>
      <c r="H140" s="31" t="s">
        <v>183</v>
      </c>
      <c r="I140" s="11" t="s">
        <v>519</v>
      </c>
      <c r="J140" s="22" t="s">
        <v>520</v>
      </c>
      <c r="K140" s="11" t="s">
        <v>59</v>
      </c>
      <c r="L140" s="26" t="s">
        <v>521</v>
      </c>
      <c r="M140" s="21" t="s">
        <v>526</v>
      </c>
      <c r="N140" s="21" t="s">
        <v>91</v>
      </c>
      <c r="O140" s="11"/>
    </row>
  </sheetData>
  <autoFilter ref="A1:O1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6"/>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10" min="9" style="0" width="14"/>
    <col collapsed="false" customWidth="true" hidden="false" outlineLevel="0" max="11" min="11" style="0" width="11"/>
    <col collapsed="false" customWidth="true" hidden="false" outlineLevel="0" max="12" min="12" style="0" width="48"/>
    <col collapsed="false" customWidth="true" hidden="false" outlineLevel="0" max="13" min="13" style="0" width="52"/>
  </cols>
  <sheetData>
    <row r="1" customFormat="false" ht="15" hidden="false" customHeight="false" outlineLevel="0" collapsed="false">
      <c r="A1" s="3" t="s">
        <v>648</v>
      </c>
    </row>
    <row r="2" customFormat="false" ht="31.5" hidden="false" customHeight="true" outlineLevel="0" collapsed="false">
      <c r="A2" s="8" t="s">
        <v>36</v>
      </c>
      <c r="B2" s="8" t="s">
        <v>649</v>
      </c>
      <c r="C2" s="8" t="s">
        <v>650</v>
      </c>
      <c r="D2" s="8" t="s">
        <v>651</v>
      </c>
      <c r="E2" s="8" t="s">
        <v>652</v>
      </c>
      <c r="F2" s="8" t="s">
        <v>653</v>
      </c>
      <c r="G2" s="8" t="s">
        <v>654</v>
      </c>
      <c r="H2" s="8" t="s">
        <v>655</v>
      </c>
      <c r="I2" s="8" t="s">
        <v>656</v>
      </c>
      <c r="J2" s="8" t="s">
        <v>657</v>
      </c>
      <c r="K2" s="8" t="s">
        <v>658</v>
      </c>
      <c r="L2" s="8" t="s">
        <v>659</v>
      </c>
      <c r="M2" s="8" t="s">
        <v>660</v>
      </c>
    </row>
    <row r="3" customFormat="false" ht="23.85" hidden="false" customHeight="false" outlineLevel="0" collapsed="false">
      <c r="A3" s="9" t="n">
        <v>1</v>
      </c>
      <c r="B3" s="11" t="s">
        <v>661</v>
      </c>
      <c r="C3" s="11" t="s">
        <v>587</v>
      </c>
      <c r="D3" s="9" t="s">
        <v>662</v>
      </c>
      <c r="E3" s="11" t="s">
        <v>663</v>
      </c>
      <c r="F3" s="9" t="n">
        <v>10</v>
      </c>
      <c r="G3" s="9" t="n">
        <v>551</v>
      </c>
      <c r="H3" s="9" t="n">
        <v>220</v>
      </c>
      <c r="I3" s="9" t="n">
        <v>566</v>
      </c>
      <c r="J3" s="9" t="n">
        <v>259</v>
      </c>
      <c r="K3" s="9" t="n">
        <v>154</v>
      </c>
      <c r="L3" s="11" t="s">
        <v>664</v>
      </c>
      <c r="M3" s="11" t="s">
        <v>665</v>
      </c>
    </row>
    <row r="4" customFormat="false" ht="23.85" hidden="false" customHeight="false" outlineLevel="0" collapsed="false">
      <c r="A4" s="9" t="n">
        <v>2</v>
      </c>
      <c r="B4" s="11" t="s">
        <v>666</v>
      </c>
      <c r="C4" s="11" t="s">
        <v>667</v>
      </c>
      <c r="D4" s="9" t="s">
        <v>668</v>
      </c>
      <c r="E4" s="11" t="s">
        <v>669</v>
      </c>
      <c r="F4" s="9" t="n">
        <v>10</v>
      </c>
      <c r="G4" s="9" t="n">
        <v>446</v>
      </c>
      <c r="H4" s="9" t="n">
        <v>965</v>
      </c>
      <c r="I4" s="9" t="n">
        <v>1500</v>
      </c>
      <c r="J4" s="9" t="n">
        <v>256</v>
      </c>
      <c r="K4" s="9" t="n">
        <v>221</v>
      </c>
      <c r="L4" s="11" t="s">
        <v>670</v>
      </c>
      <c r="M4" s="11" t="s">
        <v>671</v>
      </c>
    </row>
    <row r="5" customFormat="false" ht="23.85" hidden="false" customHeight="false" outlineLevel="0" collapsed="false">
      <c r="A5" s="9" t="n">
        <v>3</v>
      </c>
      <c r="B5" s="11" t="s">
        <v>672</v>
      </c>
      <c r="C5" s="11" t="s">
        <v>587</v>
      </c>
      <c r="D5" s="9" t="s">
        <v>673</v>
      </c>
      <c r="E5" s="11" t="s">
        <v>674</v>
      </c>
      <c r="F5" s="9" t="n">
        <v>8</v>
      </c>
      <c r="G5" s="9" t="n">
        <v>329</v>
      </c>
      <c r="H5" s="9" t="n">
        <v>78</v>
      </c>
      <c r="I5" s="9" t="n">
        <v>78</v>
      </c>
      <c r="J5" s="9" t="n">
        <v>84</v>
      </c>
      <c r="K5" s="9" t="n">
        <v>190</v>
      </c>
      <c r="L5" s="11" t="s">
        <v>675</v>
      </c>
      <c r="M5" s="11" t="s">
        <v>676</v>
      </c>
    </row>
    <row r="6" customFormat="false" ht="15" hidden="false" customHeight="false" outlineLevel="0" collapsed="false">
      <c r="A6" s="9" t="n">
        <v>4</v>
      </c>
      <c r="B6" s="11" t="s">
        <v>677</v>
      </c>
      <c r="C6" s="11" t="s">
        <v>587</v>
      </c>
      <c r="D6" s="9" t="s">
        <v>678</v>
      </c>
      <c r="E6" s="11" t="s">
        <v>679</v>
      </c>
      <c r="F6" s="9" t="n">
        <v>8</v>
      </c>
      <c r="G6" s="9" t="n">
        <v>242</v>
      </c>
      <c r="H6" s="9" t="n">
        <v>47</v>
      </c>
      <c r="I6" s="9" t="s">
        <v>194</v>
      </c>
      <c r="J6" s="9" t="s">
        <v>194</v>
      </c>
      <c r="K6" s="9" t="s">
        <v>194</v>
      </c>
      <c r="L6" s="11" t="s">
        <v>680</v>
      </c>
      <c r="M6" s="11" t="s">
        <v>681</v>
      </c>
    </row>
    <row r="7" customFormat="false" ht="23.85" hidden="false" customHeight="false" outlineLevel="0" collapsed="false">
      <c r="A7" s="9" t="n">
        <v>5</v>
      </c>
      <c r="B7" s="11" t="s">
        <v>682</v>
      </c>
      <c r="C7" s="11" t="s">
        <v>587</v>
      </c>
      <c r="D7" s="9" t="s">
        <v>683</v>
      </c>
      <c r="E7" s="11" t="s">
        <v>684</v>
      </c>
      <c r="F7" s="9" t="n">
        <v>10</v>
      </c>
      <c r="G7" s="9" t="n">
        <v>486</v>
      </c>
      <c r="H7" s="9" t="n">
        <v>309</v>
      </c>
      <c r="I7" s="9" t="s">
        <v>194</v>
      </c>
      <c r="J7" s="9" t="s">
        <v>194</v>
      </c>
      <c r="K7" s="9" t="s">
        <v>194</v>
      </c>
      <c r="L7" s="11" t="s">
        <v>685</v>
      </c>
      <c r="M7" s="11" t="s">
        <v>686</v>
      </c>
    </row>
    <row r="8" customFormat="false" ht="15" hidden="false" customHeight="false" outlineLevel="0" collapsed="false">
      <c r="A8" s="9" t="n">
        <v>6</v>
      </c>
      <c r="B8" s="11" t="s">
        <v>687</v>
      </c>
      <c r="C8" s="11" t="s">
        <v>587</v>
      </c>
      <c r="D8" s="9" t="s">
        <v>688</v>
      </c>
      <c r="E8" s="11" t="s">
        <v>689</v>
      </c>
      <c r="F8" s="9" t="n">
        <v>9</v>
      </c>
      <c r="G8" s="9" t="n">
        <v>254</v>
      </c>
      <c r="H8" s="9" t="n">
        <v>24</v>
      </c>
      <c r="I8" s="9" t="s">
        <v>194</v>
      </c>
      <c r="J8" s="9" t="s">
        <v>194</v>
      </c>
      <c r="K8" s="9" t="s">
        <v>194</v>
      </c>
      <c r="L8" s="11" t="s">
        <v>690</v>
      </c>
      <c r="M8" s="11" t="s">
        <v>691</v>
      </c>
    </row>
    <row r="9" customFormat="false" ht="23.85" hidden="false" customHeight="false" outlineLevel="0" collapsed="false">
      <c r="A9" s="9" t="n">
        <v>7</v>
      </c>
      <c r="B9" s="11" t="s">
        <v>692</v>
      </c>
      <c r="C9" s="11" t="s">
        <v>693</v>
      </c>
      <c r="D9" s="9" t="s">
        <v>694</v>
      </c>
      <c r="E9" s="11" t="s">
        <v>695</v>
      </c>
      <c r="F9" s="9" t="n">
        <v>16</v>
      </c>
      <c r="G9" s="9" t="s">
        <v>696</v>
      </c>
      <c r="H9" s="9" t="n">
        <v>118</v>
      </c>
      <c r="I9" s="9" t="s">
        <v>194</v>
      </c>
      <c r="J9" s="9" t="s">
        <v>194</v>
      </c>
      <c r="K9" s="9" t="s">
        <v>194</v>
      </c>
      <c r="L9" s="11" t="s">
        <v>697</v>
      </c>
      <c r="M9" s="11" t="s">
        <v>698</v>
      </c>
    </row>
    <row r="10" customFormat="false" ht="23.85" hidden="false" customHeight="false" outlineLevel="0" collapsed="false">
      <c r="A10" s="9" t="n">
        <v>8</v>
      </c>
      <c r="B10" s="11" t="s">
        <v>699</v>
      </c>
      <c r="C10" s="11" t="s">
        <v>667</v>
      </c>
      <c r="D10" s="9" t="s">
        <v>700</v>
      </c>
      <c r="E10" s="11" t="s">
        <v>701</v>
      </c>
      <c r="F10" s="9" t="n">
        <v>10</v>
      </c>
      <c r="G10" s="9" t="n">
        <v>368</v>
      </c>
      <c r="H10" s="9" t="n">
        <v>216</v>
      </c>
      <c r="I10" s="9" t="s">
        <v>194</v>
      </c>
      <c r="J10" s="9" t="s">
        <v>194</v>
      </c>
      <c r="K10" s="9" t="n">
        <v>261</v>
      </c>
      <c r="L10" s="11" t="s">
        <v>702</v>
      </c>
      <c r="M10" s="11" t="s">
        <v>703</v>
      </c>
    </row>
    <row r="11" customFormat="false" ht="15" hidden="false" customHeight="false" outlineLevel="0" collapsed="false">
      <c r="A11" s="9" t="n">
        <v>9</v>
      </c>
      <c r="B11" s="11" t="s">
        <v>704</v>
      </c>
      <c r="C11" s="11" t="s">
        <v>667</v>
      </c>
      <c r="D11" s="9" t="s">
        <v>705</v>
      </c>
      <c r="E11" s="11" t="s">
        <v>706</v>
      </c>
      <c r="F11" s="9" t="n">
        <v>11</v>
      </c>
      <c r="G11" s="9" t="s">
        <v>707</v>
      </c>
      <c r="H11" s="9" t="n">
        <v>762</v>
      </c>
      <c r="I11" s="9" t="s">
        <v>194</v>
      </c>
      <c r="J11" s="9" t="s">
        <v>194</v>
      </c>
      <c r="K11" s="9" t="s">
        <v>194</v>
      </c>
      <c r="L11" s="11" t="s">
        <v>708</v>
      </c>
      <c r="M11" s="11" t="s">
        <v>709</v>
      </c>
    </row>
    <row r="12" customFormat="false" ht="23.85" hidden="false" customHeight="false" outlineLevel="0" collapsed="false">
      <c r="A12" s="9" t="n">
        <v>10</v>
      </c>
      <c r="B12" s="11" t="s">
        <v>710</v>
      </c>
      <c r="C12" s="11" t="s">
        <v>711</v>
      </c>
      <c r="D12" s="9" t="s">
        <v>712</v>
      </c>
      <c r="E12" s="11" t="s">
        <v>713</v>
      </c>
      <c r="F12" s="9" t="n">
        <v>17</v>
      </c>
      <c r="G12" s="9" t="s">
        <v>714</v>
      </c>
      <c r="H12" s="9"/>
      <c r="I12" s="9" t="s">
        <v>194</v>
      </c>
      <c r="J12" s="9" t="s">
        <v>194</v>
      </c>
      <c r="K12" s="9" t="s">
        <v>194</v>
      </c>
      <c r="L12" s="11" t="s">
        <v>715</v>
      </c>
      <c r="M12" s="11" t="s">
        <v>716</v>
      </c>
    </row>
    <row r="14" customFormat="false" ht="15" hidden="false" customHeight="false" outlineLevel="0" collapsed="false">
      <c r="A14" s="3" t="s">
        <v>717</v>
      </c>
    </row>
    <row r="15" customFormat="false" ht="31.5" hidden="false" customHeight="true" outlineLevel="0" collapsed="false">
      <c r="A15" s="8" t="s">
        <v>36</v>
      </c>
      <c r="B15" s="8" t="s">
        <v>649</v>
      </c>
      <c r="C15" s="8" t="s">
        <v>718</v>
      </c>
      <c r="D15" s="8" t="s">
        <v>651</v>
      </c>
      <c r="E15" s="8" t="s">
        <v>40</v>
      </c>
      <c r="F15" s="8" t="s">
        <v>653</v>
      </c>
      <c r="G15" s="8" t="s">
        <v>654</v>
      </c>
      <c r="H15" s="8" t="s">
        <v>655</v>
      </c>
      <c r="I15" s="8"/>
      <c r="J15" s="8"/>
      <c r="K15" s="8"/>
      <c r="L15" s="8" t="s">
        <v>719</v>
      </c>
      <c r="M15" s="8" t="s">
        <v>720</v>
      </c>
    </row>
    <row r="16" customFormat="false" ht="23.85" hidden="false" customHeight="false" outlineLevel="0" collapsed="false">
      <c r="A16" s="11" t="n">
        <v>1</v>
      </c>
      <c r="B16" s="11" t="s">
        <v>721</v>
      </c>
      <c r="C16" s="11" t="s">
        <v>722</v>
      </c>
      <c r="D16" s="11" t="s">
        <v>723</v>
      </c>
      <c r="E16" s="11" t="s">
        <v>724</v>
      </c>
      <c r="F16" s="11" t="n">
        <v>19</v>
      </c>
      <c r="G16" s="11" t="s">
        <v>725</v>
      </c>
      <c r="H16" s="11" t="s">
        <v>129</v>
      </c>
      <c r="I16" s="11"/>
      <c r="J16" s="11"/>
      <c r="K16" s="11"/>
      <c r="L16" s="11" t="s">
        <v>726</v>
      </c>
      <c r="M16" s="11" t="s">
        <v>727</v>
      </c>
    </row>
    <row r="17" customFormat="false" ht="15" hidden="false" customHeight="false" outlineLevel="0" collapsed="false">
      <c r="A17" s="11" t="n">
        <v>2</v>
      </c>
      <c r="B17" s="11" t="s">
        <v>728</v>
      </c>
      <c r="C17" s="11" t="s">
        <v>722</v>
      </c>
      <c r="D17" s="11" t="s">
        <v>729</v>
      </c>
      <c r="E17" s="11" t="s">
        <v>730</v>
      </c>
      <c r="F17" s="11" t="n">
        <v>19</v>
      </c>
      <c r="G17" s="11" t="s">
        <v>731</v>
      </c>
      <c r="H17" s="11" t="s">
        <v>129</v>
      </c>
      <c r="I17" s="11"/>
      <c r="J17" s="11"/>
      <c r="K17" s="11"/>
      <c r="L17" s="11" t="s">
        <v>732</v>
      </c>
      <c r="M17" s="11" t="s">
        <v>733</v>
      </c>
    </row>
    <row r="18" customFormat="false" ht="35.05" hidden="false" customHeight="false" outlineLevel="0" collapsed="false">
      <c r="A18" s="11" t="n">
        <v>3</v>
      </c>
      <c r="B18" s="11" t="s">
        <v>734</v>
      </c>
      <c r="C18" s="11" t="s">
        <v>735</v>
      </c>
      <c r="D18" s="11" t="s">
        <v>736</v>
      </c>
      <c r="E18" s="11" t="s">
        <v>737</v>
      </c>
      <c r="F18" s="11" t="s">
        <v>738</v>
      </c>
      <c r="G18" s="11" t="s">
        <v>739</v>
      </c>
      <c r="H18" s="11" t="s">
        <v>129</v>
      </c>
      <c r="I18" s="11"/>
      <c r="J18" s="11"/>
      <c r="K18" s="11"/>
      <c r="L18" s="11" t="s">
        <v>740</v>
      </c>
      <c r="M18" s="11" t="s">
        <v>741</v>
      </c>
    </row>
    <row r="19" customFormat="false" ht="23.85" hidden="false" customHeight="false" outlineLevel="0" collapsed="false">
      <c r="A19" s="11" t="n">
        <v>4</v>
      </c>
      <c r="B19" s="11" t="s">
        <v>742</v>
      </c>
      <c r="C19" s="11" t="s">
        <v>743</v>
      </c>
      <c r="D19" s="11" t="s">
        <v>744</v>
      </c>
      <c r="E19" s="11" t="s">
        <v>745</v>
      </c>
      <c r="F19" s="11" t="n">
        <v>52</v>
      </c>
      <c r="G19" s="11" t="s">
        <v>746</v>
      </c>
      <c r="H19" s="11" t="s">
        <v>747</v>
      </c>
      <c r="I19" s="11"/>
      <c r="J19" s="11"/>
      <c r="K19" s="11"/>
      <c r="L19" s="11" t="s">
        <v>748</v>
      </c>
      <c r="M19" s="11" t="s">
        <v>749</v>
      </c>
    </row>
    <row r="20" customFormat="false" ht="23.85" hidden="false" customHeight="false" outlineLevel="0" collapsed="false">
      <c r="A20" s="11" t="n">
        <v>5</v>
      </c>
      <c r="B20" s="11" t="s">
        <v>750</v>
      </c>
      <c r="C20" s="11" t="s">
        <v>751</v>
      </c>
      <c r="D20" s="11" t="s">
        <v>752</v>
      </c>
      <c r="E20" s="11" t="s">
        <v>753</v>
      </c>
      <c r="F20" s="11" t="n">
        <v>58</v>
      </c>
      <c r="G20" s="11" t="s">
        <v>754</v>
      </c>
      <c r="H20" s="11" t="s">
        <v>755</v>
      </c>
      <c r="I20" s="11"/>
      <c r="J20" s="11"/>
      <c r="K20" s="11"/>
      <c r="L20" s="11" t="s">
        <v>756</v>
      </c>
      <c r="M20" s="11" t="s">
        <v>757</v>
      </c>
    </row>
    <row r="21" customFormat="false" ht="15" hidden="false" customHeight="false" outlineLevel="0" collapsed="false">
      <c r="A21" s="11" t="n">
        <v>6</v>
      </c>
      <c r="B21" s="11" t="s">
        <v>758</v>
      </c>
      <c r="C21" s="11" t="s">
        <v>743</v>
      </c>
      <c r="D21" s="11" t="s">
        <v>759</v>
      </c>
      <c r="E21" s="11" t="s">
        <v>737</v>
      </c>
      <c r="F21" s="11" t="s">
        <v>760</v>
      </c>
      <c r="G21" s="11" t="s">
        <v>761</v>
      </c>
      <c r="H21" s="11" t="s">
        <v>762</v>
      </c>
      <c r="I21" s="11"/>
      <c r="J21" s="11"/>
      <c r="K21" s="11"/>
      <c r="L21" s="11" t="s">
        <v>763</v>
      </c>
      <c r="M21" s="11" t="s">
        <v>764</v>
      </c>
    </row>
    <row r="22" customFormat="false" ht="15" hidden="false" customHeight="false" outlineLevel="0" collapsed="false">
      <c r="A22" s="11" t="n">
        <v>7</v>
      </c>
      <c r="B22" s="11" t="s">
        <v>765</v>
      </c>
      <c r="C22" s="11" t="s">
        <v>766</v>
      </c>
      <c r="D22" s="11" t="s">
        <v>767</v>
      </c>
      <c r="E22" s="11" t="s">
        <v>768</v>
      </c>
      <c r="F22" s="11" t="n">
        <v>100</v>
      </c>
      <c r="G22" s="11" t="s">
        <v>769</v>
      </c>
      <c r="H22" s="11" t="s">
        <v>770</v>
      </c>
      <c r="I22" s="11"/>
      <c r="J22" s="11"/>
      <c r="K22" s="11"/>
      <c r="L22" s="11" t="s">
        <v>771</v>
      </c>
      <c r="M22" s="11" t="s">
        <v>772</v>
      </c>
    </row>
    <row r="23" customFormat="false" ht="35.05" hidden="false" customHeight="false" outlineLevel="0" collapsed="false">
      <c r="A23" s="11" t="n">
        <v>8</v>
      </c>
      <c r="B23" s="11" t="s">
        <v>773</v>
      </c>
      <c r="C23" s="11" t="s">
        <v>774</v>
      </c>
      <c r="D23" s="11" t="s">
        <v>775</v>
      </c>
      <c r="E23" s="11" t="s">
        <v>737</v>
      </c>
      <c r="F23" s="11" t="s">
        <v>776</v>
      </c>
      <c r="G23" s="11" t="s">
        <v>777</v>
      </c>
      <c r="H23" s="11" t="s">
        <v>129</v>
      </c>
      <c r="I23" s="11"/>
      <c r="J23" s="11"/>
      <c r="K23" s="11"/>
      <c r="L23" s="11" t="s">
        <v>778</v>
      </c>
      <c r="M23" s="11" t="s">
        <v>779</v>
      </c>
    </row>
    <row r="25" customFormat="false" ht="15" hidden="false" customHeight="false" outlineLevel="0" collapsed="false">
      <c r="A25" s="3" t="s">
        <v>780</v>
      </c>
    </row>
    <row r="26" customFormat="false" ht="30" hidden="false" customHeight="true" outlineLevel="0" collapsed="false">
      <c r="A26" s="7" t="s">
        <v>781</v>
      </c>
      <c r="B26" s="7"/>
      <c r="C26" s="7"/>
      <c r="D26" s="7"/>
      <c r="E26" s="7"/>
      <c r="F26" s="7"/>
      <c r="G26" s="7"/>
      <c r="H26" s="7"/>
      <c r="I26" s="7"/>
      <c r="J26" s="7"/>
      <c r="K26" s="7"/>
      <c r="L26" s="7"/>
      <c r="M26" s="7"/>
    </row>
    <row r="27" customFormat="false" ht="30" hidden="false" customHeight="true" outlineLevel="0" collapsed="false">
      <c r="A27" s="7" t="s">
        <v>782</v>
      </c>
      <c r="B27" s="7"/>
      <c r="C27" s="7"/>
      <c r="D27" s="7"/>
      <c r="E27" s="7"/>
      <c r="F27" s="7"/>
      <c r="G27" s="7"/>
      <c r="H27" s="7"/>
      <c r="I27" s="7"/>
      <c r="J27" s="7"/>
      <c r="K27" s="7"/>
      <c r="L27" s="7"/>
      <c r="M27" s="7"/>
    </row>
    <row r="28" customFormat="false" ht="30" hidden="false" customHeight="true" outlineLevel="0" collapsed="false">
      <c r="A28" s="7" t="s">
        <v>783</v>
      </c>
      <c r="B28" s="7"/>
      <c r="C28" s="7"/>
      <c r="D28" s="7"/>
      <c r="E28" s="7"/>
      <c r="F28" s="7"/>
      <c r="G28" s="7"/>
      <c r="H28" s="7"/>
      <c r="I28" s="7"/>
      <c r="J28" s="7"/>
      <c r="K28" s="7"/>
      <c r="L28" s="7"/>
      <c r="M28" s="7"/>
    </row>
    <row r="31" customFormat="false" ht="15" hidden="false" customHeight="false" outlineLevel="0" collapsed="false">
      <c r="A31" s="3" t="s">
        <v>784</v>
      </c>
    </row>
    <row r="32" customFormat="false" ht="31.5" hidden="false" customHeight="true" outlineLevel="0" collapsed="false">
      <c r="A32" s="8" t="s">
        <v>36</v>
      </c>
      <c r="B32" s="8" t="s">
        <v>649</v>
      </c>
      <c r="C32" s="8" t="s">
        <v>785</v>
      </c>
      <c r="D32" s="8" t="s">
        <v>786</v>
      </c>
      <c r="E32" s="8" t="s">
        <v>787</v>
      </c>
      <c r="F32" s="8" t="s">
        <v>788</v>
      </c>
      <c r="G32" s="8" t="s">
        <v>789</v>
      </c>
      <c r="H32" s="8" t="s">
        <v>790</v>
      </c>
      <c r="I32" s="8" t="s">
        <v>791</v>
      </c>
      <c r="J32" s="8" t="s">
        <v>792</v>
      </c>
      <c r="K32" s="8"/>
      <c r="L32" s="8" t="s">
        <v>793</v>
      </c>
      <c r="M32" s="8" t="s">
        <v>794</v>
      </c>
    </row>
    <row r="33" customFormat="false" ht="69.75" hidden="false" customHeight="true" outlineLevel="0" collapsed="false">
      <c r="A33" s="11" t="n">
        <v>1</v>
      </c>
      <c r="B33" s="11" t="s">
        <v>661</v>
      </c>
      <c r="C33" s="11" t="s">
        <v>795</v>
      </c>
      <c r="D33" s="11" t="n">
        <v>80</v>
      </c>
      <c r="E33" s="11" t="n">
        <v>16</v>
      </c>
      <c r="F33" s="11" t="n">
        <v>12</v>
      </c>
      <c r="G33" s="11" t="n">
        <v>566</v>
      </c>
      <c r="H33" s="11" t="s">
        <v>796</v>
      </c>
      <c r="I33" s="11" t="s">
        <v>797</v>
      </c>
      <c r="J33" s="11" t="s">
        <v>798</v>
      </c>
      <c r="K33" s="11"/>
      <c r="L33" s="11" t="s">
        <v>799</v>
      </c>
      <c r="M33" s="11" t="s">
        <v>800</v>
      </c>
    </row>
    <row r="34" customFormat="false" ht="69.75" hidden="false" customHeight="true" outlineLevel="0" collapsed="false">
      <c r="A34" s="11" t="n">
        <v>2</v>
      </c>
      <c r="B34" s="11" t="s">
        <v>692</v>
      </c>
      <c r="C34" s="11" t="s">
        <v>801</v>
      </c>
      <c r="D34" s="11" t="n">
        <v>133</v>
      </c>
      <c r="E34" s="11" t="n">
        <v>30</v>
      </c>
      <c r="F34" s="11" t="n">
        <v>20</v>
      </c>
      <c r="G34" s="11" t="n">
        <v>236</v>
      </c>
      <c r="H34" s="11" t="s">
        <v>802</v>
      </c>
      <c r="I34" s="11" t="s">
        <v>803</v>
      </c>
      <c r="J34" s="11" t="s">
        <v>804</v>
      </c>
      <c r="K34" s="11"/>
      <c r="L34" s="11" t="s">
        <v>805</v>
      </c>
      <c r="M34" s="11" t="s">
        <v>806</v>
      </c>
    </row>
  </sheetData>
  <mergeCells count="3">
    <mergeCell ref="A26:M26"/>
    <mergeCell ref="A27:M27"/>
    <mergeCell ref="A28:M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18"/>
    <col collapsed="false" customWidth="true" hidden="false" outlineLevel="0" max="4" min="4" style="0" width="14"/>
    <col collapsed="false" customWidth="true" hidden="false" outlineLevel="0" max="5" min="5" style="0" width="48"/>
    <col collapsed="false" customWidth="true" hidden="false" outlineLevel="0" max="6" min="6" style="0" width="62"/>
  </cols>
  <sheetData>
    <row r="1" customFormat="false" ht="15" hidden="false" customHeight="false" outlineLevel="0" collapsed="false">
      <c r="A1" s="3" t="s">
        <v>807</v>
      </c>
    </row>
    <row r="2" customFormat="false" ht="31.5" hidden="false" customHeight="true" outlineLevel="0" collapsed="false">
      <c r="A2" s="8" t="s">
        <v>40</v>
      </c>
      <c r="B2" s="8" t="s">
        <v>808</v>
      </c>
      <c r="C2" s="8" t="s">
        <v>809</v>
      </c>
      <c r="D2" s="8" t="s">
        <v>810</v>
      </c>
      <c r="E2" s="8" t="s">
        <v>811</v>
      </c>
      <c r="F2" s="8" t="s">
        <v>720</v>
      </c>
    </row>
    <row r="3" customFormat="false" ht="15" hidden="false" customHeight="false" outlineLevel="0" collapsed="false">
      <c r="A3" s="11" t="s">
        <v>59</v>
      </c>
      <c r="B3" s="11" t="s">
        <v>812</v>
      </c>
      <c r="C3" s="11" t="n">
        <f aca="false">'Page Map'!I2</f>
        <v>16</v>
      </c>
      <c r="D3" s="32" t="n">
        <f aca="false">'Page Map'!J2</f>
        <v>7340</v>
      </c>
      <c r="E3" s="11" t="s">
        <v>60</v>
      </c>
      <c r="F3" s="11" t="s">
        <v>813</v>
      </c>
    </row>
    <row r="4" customFormat="false" ht="15" hidden="false" customHeight="false" outlineLevel="0" collapsed="false">
      <c r="A4" s="11" t="s">
        <v>76</v>
      </c>
      <c r="B4" s="11" t="s">
        <v>812</v>
      </c>
      <c r="C4" s="11" t="n">
        <f aca="false">'Page Map'!I4</f>
        <v>19</v>
      </c>
      <c r="D4" s="32" t="n">
        <f aca="false">'Page Map'!J4</f>
        <v>4160</v>
      </c>
      <c r="E4" s="11" t="s">
        <v>77</v>
      </c>
      <c r="F4" s="11" t="s">
        <v>813</v>
      </c>
    </row>
    <row r="5" customFormat="false" ht="15" hidden="false" customHeight="false" outlineLevel="0" collapsed="false">
      <c r="A5" s="11" t="s">
        <v>69</v>
      </c>
      <c r="B5" s="11" t="s">
        <v>812</v>
      </c>
      <c r="C5" s="11" t="n">
        <f aca="false">'Page Map'!I3</f>
        <v>17</v>
      </c>
      <c r="D5" s="32" t="n">
        <f aca="false">'Page Map'!J3</f>
        <v>4170</v>
      </c>
      <c r="E5" s="11" t="s">
        <v>70</v>
      </c>
      <c r="F5" s="11" t="s">
        <v>813</v>
      </c>
    </row>
    <row r="6" customFormat="false" ht="15" hidden="false" customHeight="false" outlineLevel="0" collapsed="false">
      <c r="A6" s="11" t="s">
        <v>113</v>
      </c>
      <c r="B6" s="11" t="s">
        <v>812</v>
      </c>
      <c r="C6" s="11" t="n">
        <f aca="false">'Page Map'!I9</f>
        <v>3</v>
      </c>
      <c r="D6" s="32" t="n">
        <f aca="false">'Page Map'!J9</f>
        <v>660</v>
      </c>
      <c r="E6" s="11" t="s">
        <v>114</v>
      </c>
      <c r="F6" s="11" t="s">
        <v>813</v>
      </c>
    </row>
    <row r="7" customFormat="false" ht="15" hidden="false" customHeight="false" outlineLevel="0" collapsed="false">
      <c r="A7" s="11" t="s">
        <v>125</v>
      </c>
      <c r="B7" s="11" t="s">
        <v>812</v>
      </c>
      <c r="C7" s="11" t="n">
        <f aca="false">'Page Map'!I11</f>
        <v>1</v>
      </c>
      <c r="D7" s="32" t="n">
        <f aca="false">'Page Map'!J11</f>
        <v>140</v>
      </c>
      <c r="E7" s="11" t="s">
        <v>126</v>
      </c>
      <c r="F7" s="11" t="s">
        <v>813</v>
      </c>
    </row>
    <row r="8" customFormat="false" ht="15" hidden="false" customHeight="false" outlineLevel="0" collapsed="false">
      <c r="A8" s="11" t="s">
        <v>93</v>
      </c>
      <c r="B8" s="11" t="s">
        <v>812</v>
      </c>
      <c r="C8" s="11" t="n">
        <f aca="false">'Page Map'!I6</f>
        <v>4</v>
      </c>
      <c r="D8" s="32" t="n">
        <f aca="false">'Page Map'!J6</f>
        <v>380</v>
      </c>
      <c r="E8" s="11" t="s">
        <v>94</v>
      </c>
      <c r="F8" s="11" t="s">
        <v>813</v>
      </c>
    </row>
    <row r="9" customFormat="false" ht="23.85" hidden="false" customHeight="false" outlineLevel="0" collapsed="false">
      <c r="A9" s="11" t="s">
        <v>395</v>
      </c>
      <c r="B9" s="11" t="s">
        <v>812</v>
      </c>
      <c r="C9" s="11" t="s">
        <v>194</v>
      </c>
      <c r="D9" s="11" t="s">
        <v>194</v>
      </c>
      <c r="E9" s="11" t="s">
        <v>814</v>
      </c>
      <c r="F9" s="11" t="s">
        <v>815</v>
      </c>
    </row>
    <row r="10" customFormat="false" ht="15" hidden="false" customHeight="false" outlineLevel="0" collapsed="false">
      <c r="A10" s="11" t="s">
        <v>816</v>
      </c>
      <c r="B10" s="11" t="s">
        <v>812</v>
      </c>
      <c r="C10" s="11" t="s">
        <v>129</v>
      </c>
      <c r="D10" s="11" t="s">
        <v>129</v>
      </c>
      <c r="E10" s="11" t="s">
        <v>129</v>
      </c>
      <c r="F10" s="11" t="s">
        <v>817</v>
      </c>
    </row>
    <row r="11" customFormat="false" ht="15" hidden="false" customHeight="false" outlineLevel="0" collapsed="false">
      <c r="A11" s="11" t="s">
        <v>818</v>
      </c>
      <c r="B11" s="11" t="s">
        <v>812</v>
      </c>
      <c r="C11" s="11" t="s">
        <v>129</v>
      </c>
      <c r="D11" s="11" t="s">
        <v>129</v>
      </c>
      <c r="E11" s="11" t="s">
        <v>129</v>
      </c>
      <c r="F11" s="11" t="s">
        <v>819</v>
      </c>
    </row>
    <row r="13" customFormat="false" ht="15" hidden="false" customHeight="false" outlineLevel="0" collapsed="false">
      <c r="A13" s="3" t="s">
        <v>820</v>
      </c>
    </row>
    <row r="14" customFormat="false" ht="31.5" hidden="false" customHeight="true" outlineLevel="0" collapsed="false">
      <c r="A14" s="7" t="s">
        <v>821</v>
      </c>
      <c r="B14" s="7"/>
      <c r="C14" s="7"/>
      <c r="D14" s="7"/>
      <c r="E14" s="7"/>
      <c r="F14" s="7"/>
    </row>
    <row r="15" customFormat="false" ht="31.5" hidden="false" customHeight="true" outlineLevel="0" collapsed="false">
      <c r="A15" s="7" t="s">
        <v>822</v>
      </c>
      <c r="B15" s="7"/>
      <c r="C15" s="7"/>
      <c r="D15" s="7"/>
      <c r="E15" s="7"/>
      <c r="F15" s="7"/>
    </row>
    <row r="16" customFormat="false" ht="31.5" hidden="false" customHeight="true" outlineLevel="0" collapsed="false">
      <c r="A16" s="7" t="s">
        <v>823</v>
      </c>
      <c r="B16" s="7"/>
      <c r="C16" s="7"/>
      <c r="D16" s="7"/>
      <c r="E16" s="7"/>
      <c r="F16" s="7"/>
    </row>
    <row r="17" customFormat="false" ht="31.5" hidden="false" customHeight="true" outlineLevel="0" collapsed="false">
      <c r="A17" s="7" t="s">
        <v>824</v>
      </c>
      <c r="B17" s="7"/>
      <c r="C17" s="7"/>
      <c r="D17" s="7"/>
      <c r="E17" s="7"/>
      <c r="F17" s="7"/>
    </row>
    <row r="18" customFormat="false" ht="31.5" hidden="false" customHeight="true" outlineLevel="0" collapsed="false">
      <c r="A18" s="7" t="s">
        <v>825</v>
      </c>
      <c r="B18" s="7"/>
      <c r="C18" s="7"/>
      <c r="D18" s="7"/>
      <c r="E18" s="7"/>
      <c r="F18" s="7"/>
    </row>
    <row r="19" customFormat="false" ht="31.5" hidden="false" customHeight="true" outlineLevel="0" collapsed="false">
      <c r="A19" s="7" t="s">
        <v>826</v>
      </c>
      <c r="B19" s="7"/>
      <c r="C19" s="7"/>
      <c r="D19" s="7"/>
      <c r="E19" s="7"/>
      <c r="F19" s="7"/>
    </row>
    <row r="20" customFormat="false" ht="31.5" hidden="false" customHeight="true" outlineLevel="0" collapsed="false">
      <c r="A20" s="7" t="s">
        <v>827</v>
      </c>
      <c r="B20" s="7"/>
      <c r="C20" s="7"/>
      <c r="D20" s="7"/>
      <c r="E20" s="7"/>
      <c r="F20" s="7"/>
    </row>
  </sheetData>
  <mergeCells count="7">
    <mergeCell ref="A14:F14"/>
    <mergeCell ref="A15:F15"/>
    <mergeCell ref="A16:F16"/>
    <mergeCell ref="A17:F17"/>
    <mergeCell ref="A18:F18"/>
    <mergeCell ref="A19:F19"/>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62"/>
    <col collapsed="false" customWidth="true" hidden="false" outlineLevel="0" max="4" min="4" style="0" width="60"/>
    <col collapsed="false" customWidth="true" hidden="false" outlineLevel="0" max="5" min="5" style="0" width="62"/>
  </cols>
  <sheetData>
    <row r="1" customFormat="false" ht="31.5" hidden="false" customHeight="true" outlineLevel="0" collapsed="false">
      <c r="A1" s="8" t="s">
        <v>828</v>
      </c>
      <c r="B1" s="8" t="s">
        <v>829</v>
      </c>
      <c r="C1" s="8" t="s">
        <v>830</v>
      </c>
      <c r="D1" s="8" t="s">
        <v>831</v>
      </c>
      <c r="E1" s="8" t="s">
        <v>832</v>
      </c>
    </row>
    <row r="2" customFormat="false" ht="35.05" hidden="false" customHeight="false" outlineLevel="0" collapsed="false">
      <c r="A2" s="11" t="s">
        <v>833</v>
      </c>
      <c r="B2" s="11" t="s">
        <v>834</v>
      </c>
      <c r="C2" s="11" t="s">
        <v>835</v>
      </c>
      <c r="D2" s="11" t="s">
        <v>836</v>
      </c>
      <c r="E2" s="11" t="s">
        <v>837</v>
      </c>
    </row>
    <row r="3" customFormat="false" ht="23.85" hidden="false" customHeight="false" outlineLevel="0" collapsed="false">
      <c r="A3" s="11" t="s">
        <v>833</v>
      </c>
      <c r="B3" s="11" t="s">
        <v>834</v>
      </c>
      <c r="C3" s="11" t="s">
        <v>838</v>
      </c>
      <c r="D3" s="11" t="s">
        <v>839</v>
      </c>
      <c r="E3" s="11" t="s">
        <v>840</v>
      </c>
    </row>
    <row r="4" customFormat="false" ht="35.05" hidden="false" customHeight="false" outlineLevel="0" collapsed="false">
      <c r="A4" s="11" t="s">
        <v>833</v>
      </c>
      <c r="B4" s="11" t="s">
        <v>834</v>
      </c>
      <c r="C4" s="11" t="s">
        <v>841</v>
      </c>
      <c r="D4" s="11" t="s">
        <v>842</v>
      </c>
      <c r="E4" s="11" t="s">
        <v>843</v>
      </c>
    </row>
    <row r="5" customFormat="false" ht="15" hidden="false" customHeight="false" outlineLevel="0" collapsed="false">
      <c r="A5" s="11" t="s">
        <v>833</v>
      </c>
      <c r="B5" s="11" t="s">
        <v>834</v>
      </c>
      <c r="C5" s="11" t="s">
        <v>844</v>
      </c>
      <c r="D5" s="11" t="s">
        <v>85</v>
      </c>
      <c r="E5" s="11" t="s">
        <v>845</v>
      </c>
    </row>
    <row r="6" customFormat="false" ht="35.05" hidden="false" customHeight="false" outlineLevel="0" collapsed="false">
      <c r="A6" s="11" t="s">
        <v>833</v>
      </c>
      <c r="B6" s="11" t="s">
        <v>834</v>
      </c>
      <c r="C6" s="11" t="s">
        <v>846</v>
      </c>
      <c r="D6" s="11" t="s">
        <v>847</v>
      </c>
      <c r="E6" s="11" t="s">
        <v>848</v>
      </c>
    </row>
    <row r="7" customFormat="false" ht="15" hidden="false" customHeight="false" outlineLevel="0" collapsed="false">
      <c r="A7" s="11" t="s">
        <v>849</v>
      </c>
      <c r="B7" s="11" t="s">
        <v>850</v>
      </c>
      <c r="C7" s="11" t="s">
        <v>841</v>
      </c>
      <c r="D7" s="11" t="s">
        <v>851</v>
      </c>
      <c r="E7" s="11" t="s">
        <v>852</v>
      </c>
    </row>
    <row r="8" customFormat="false" ht="35.05" hidden="false" customHeight="false" outlineLevel="0" collapsed="false">
      <c r="A8" s="11" t="s">
        <v>849</v>
      </c>
      <c r="B8" s="11" t="s">
        <v>850</v>
      </c>
      <c r="C8" s="11" t="s">
        <v>844</v>
      </c>
      <c r="D8" s="11" t="s">
        <v>853</v>
      </c>
      <c r="E8" s="11" t="s">
        <v>854</v>
      </c>
    </row>
    <row r="9" customFormat="false" ht="46.25" hidden="false" customHeight="false" outlineLevel="0" collapsed="false">
      <c r="A9" s="11" t="s">
        <v>849</v>
      </c>
      <c r="B9" s="11" t="s">
        <v>850</v>
      </c>
      <c r="C9" s="11" t="s">
        <v>855</v>
      </c>
      <c r="D9" s="11" t="s">
        <v>856</v>
      </c>
      <c r="E9" s="11" t="s">
        <v>857</v>
      </c>
    </row>
    <row r="10" customFormat="false" ht="23.85" hidden="false" customHeight="false" outlineLevel="0" collapsed="false">
      <c r="A10" s="11" t="s">
        <v>849</v>
      </c>
      <c r="B10" s="11" t="s">
        <v>850</v>
      </c>
      <c r="C10" s="11" t="s">
        <v>858</v>
      </c>
      <c r="D10" s="11" t="s">
        <v>384</v>
      </c>
      <c r="E10" s="11" t="s">
        <v>859</v>
      </c>
    </row>
    <row r="11" customFormat="false" ht="15" hidden="false" customHeight="false" outlineLevel="0" collapsed="false">
      <c r="A11" s="11" t="s">
        <v>849</v>
      </c>
      <c r="B11" s="11" t="s">
        <v>850</v>
      </c>
      <c r="C11" s="11" t="s">
        <v>860</v>
      </c>
      <c r="D11" s="11" t="s">
        <v>391</v>
      </c>
      <c r="E11" s="11" t="s">
        <v>861</v>
      </c>
    </row>
    <row r="12" customFormat="false" ht="23.85" hidden="false" customHeight="false" outlineLevel="0" collapsed="false">
      <c r="A12" s="11" t="s">
        <v>862</v>
      </c>
      <c r="B12" s="11" t="s">
        <v>863</v>
      </c>
      <c r="C12" s="11" t="s">
        <v>844</v>
      </c>
      <c r="D12" s="11" t="s">
        <v>864</v>
      </c>
      <c r="E12" s="11" t="s">
        <v>865</v>
      </c>
    </row>
    <row r="13" customFormat="false" ht="35.05" hidden="false" customHeight="false" outlineLevel="0" collapsed="false">
      <c r="A13" s="11" t="s">
        <v>862</v>
      </c>
      <c r="B13" s="11" t="s">
        <v>863</v>
      </c>
      <c r="C13" s="11" t="s">
        <v>866</v>
      </c>
      <c r="D13" s="11" t="s">
        <v>867</v>
      </c>
      <c r="E13" s="11" t="s">
        <v>868</v>
      </c>
    </row>
    <row r="14" customFormat="false" ht="23.85" hidden="false" customHeight="false" outlineLevel="0" collapsed="false">
      <c r="A14" s="11" t="s">
        <v>862</v>
      </c>
      <c r="B14" s="11" t="s">
        <v>863</v>
      </c>
      <c r="C14" s="11" t="s">
        <v>869</v>
      </c>
      <c r="D14" s="11" t="s">
        <v>870</v>
      </c>
      <c r="E14" s="11" t="s">
        <v>871</v>
      </c>
    </row>
    <row r="15" customFormat="false" ht="23.85" hidden="false" customHeight="false" outlineLevel="0" collapsed="false">
      <c r="A15" s="11" t="s">
        <v>872</v>
      </c>
      <c r="B15" s="11" t="s">
        <v>873</v>
      </c>
      <c r="C15" s="11" t="s">
        <v>844</v>
      </c>
      <c r="D15" s="11" t="s">
        <v>874</v>
      </c>
      <c r="E15" s="11" t="s">
        <v>875</v>
      </c>
    </row>
    <row r="16" customFormat="false" ht="35.05" hidden="false" customHeight="false" outlineLevel="0" collapsed="false">
      <c r="A16" s="11" t="s">
        <v>872</v>
      </c>
      <c r="B16" s="11" t="s">
        <v>873</v>
      </c>
      <c r="C16" s="11" t="s">
        <v>876</v>
      </c>
      <c r="D16" s="11" t="s">
        <v>877</v>
      </c>
      <c r="E16" s="11" t="s">
        <v>878</v>
      </c>
    </row>
    <row r="17" customFormat="false" ht="15" hidden="false" customHeight="false" outlineLevel="0" collapsed="false">
      <c r="A17" s="11" t="s">
        <v>879</v>
      </c>
      <c r="B17" s="11" t="s">
        <v>880</v>
      </c>
      <c r="C17" s="11" t="s">
        <v>844</v>
      </c>
      <c r="D17" s="11" t="s">
        <v>256</v>
      </c>
      <c r="E17" s="11" t="s">
        <v>881</v>
      </c>
    </row>
    <row r="18" customFormat="false" ht="23.85" hidden="false" customHeight="false" outlineLevel="0" collapsed="false">
      <c r="A18" s="11" t="s">
        <v>879</v>
      </c>
      <c r="B18" s="11" t="s">
        <v>880</v>
      </c>
      <c r="C18" s="11" t="s">
        <v>876</v>
      </c>
      <c r="D18" s="11" t="s">
        <v>882</v>
      </c>
      <c r="E18" s="11" t="s">
        <v>878</v>
      </c>
    </row>
    <row r="19" customFormat="false" ht="23.85" hidden="false" customHeight="false" outlineLevel="0" collapsed="false">
      <c r="A19" s="11" t="s">
        <v>879</v>
      </c>
      <c r="B19" s="11" t="s">
        <v>880</v>
      </c>
      <c r="C19" s="11" t="s">
        <v>883</v>
      </c>
      <c r="D19" s="11" t="s">
        <v>884</v>
      </c>
      <c r="E19" s="11" t="s">
        <v>885</v>
      </c>
    </row>
    <row r="20" customFormat="false" ht="23.85" hidden="false" customHeight="false" outlineLevel="0" collapsed="false">
      <c r="A20" s="11" t="s">
        <v>886</v>
      </c>
      <c r="B20" s="11" t="s">
        <v>887</v>
      </c>
      <c r="C20" s="11" t="s">
        <v>844</v>
      </c>
      <c r="D20" s="11" t="s">
        <v>888</v>
      </c>
      <c r="E20" s="11" t="s">
        <v>889</v>
      </c>
    </row>
    <row r="21" customFormat="false" ht="35.05" hidden="false" customHeight="false" outlineLevel="0" collapsed="false">
      <c r="A21" s="11" t="s">
        <v>886</v>
      </c>
      <c r="B21" s="11" t="s">
        <v>887</v>
      </c>
      <c r="C21" s="11" t="s">
        <v>890</v>
      </c>
      <c r="D21" s="11" t="s">
        <v>891</v>
      </c>
      <c r="E21" s="11" t="s">
        <v>878</v>
      </c>
    </row>
    <row r="22" customFormat="false" ht="23.85" hidden="false" customHeight="false" outlineLevel="0" collapsed="false">
      <c r="A22" s="11" t="s">
        <v>892</v>
      </c>
      <c r="B22" s="11" t="s">
        <v>893</v>
      </c>
      <c r="C22" s="11" t="s">
        <v>844</v>
      </c>
      <c r="D22" s="11" t="s">
        <v>894</v>
      </c>
      <c r="E22" s="11" t="s">
        <v>895</v>
      </c>
    </row>
    <row r="23" customFormat="false" ht="35.05" hidden="false" customHeight="false" outlineLevel="0" collapsed="false">
      <c r="A23" s="11" t="s">
        <v>892</v>
      </c>
      <c r="B23" s="11" t="s">
        <v>893</v>
      </c>
      <c r="C23" s="11" t="s">
        <v>896</v>
      </c>
      <c r="D23" s="11" t="s">
        <v>897</v>
      </c>
      <c r="E23" s="11" t="s">
        <v>878</v>
      </c>
    </row>
    <row r="24" customFormat="false" ht="35.05" hidden="false" customHeight="false" outlineLevel="0" collapsed="false">
      <c r="A24" s="11" t="s">
        <v>898</v>
      </c>
      <c r="B24" s="11" t="s">
        <v>899</v>
      </c>
      <c r="C24" s="11" t="s">
        <v>900</v>
      </c>
      <c r="D24" s="11" t="s">
        <v>901</v>
      </c>
      <c r="E24" s="11" t="s">
        <v>902</v>
      </c>
    </row>
    <row r="25" customFormat="false" ht="35.05" hidden="false" customHeight="false" outlineLevel="0" collapsed="false">
      <c r="A25" s="11" t="s">
        <v>898</v>
      </c>
      <c r="B25" s="11" t="s">
        <v>899</v>
      </c>
      <c r="C25" s="11" t="s">
        <v>903</v>
      </c>
      <c r="D25" s="11" t="s">
        <v>786</v>
      </c>
      <c r="E25" s="11" t="s">
        <v>904</v>
      </c>
    </row>
    <row r="26" customFormat="false" ht="23.85" hidden="false" customHeight="false" outlineLevel="0" collapsed="false">
      <c r="A26" s="11" t="s">
        <v>898</v>
      </c>
      <c r="B26" s="11" t="s">
        <v>899</v>
      </c>
      <c r="C26" s="11" t="s">
        <v>905</v>
      </c>
      <c r="D26" s="11" t="s">
        <v>884</v>
      </c>
      <c r="E26" s="11" t="s">
        <v>906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2026-10-16T06:56:03Z</dcterms:created>
  <dc:creator>openpyxl</dc:creator>
  <dc:description/>
  <dc:language>en-US</dc:language>
  <cp:lastModifiedBy/>
  <dcterms:modified xsi:type="dcterms:W3CDTF">2026-10-16T06:56:04Z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